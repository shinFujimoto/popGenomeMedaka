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study\論文原稿\0_medakaPopGenomics\DatasetAndScript\genomescan\formatting_output\gene_Info_ensembl\qtl_HdrR_genome_liftover\HdrR_sanger_HNI\"/>
    </mc:Choice>
  </mc:AlternateContent>
  <xr:revisionPtr revIDLastSave="0" documentId="13_ncr:1_{634F36E3-22D0-4E8B-9658-9A2A228E8512}" xr6:coauthVersionLast="47" xr6:coauthVersionMax="47" xr10:uidLastSave="{00000000-0000-0000-0000-000000000000}"/>
  <bookViews>
    <workbookView xWindow="1809" yWindow="1277" windowWidth="12334" windowHeight="15566" xr2:uid="{00000000-000D-0000-FFFF-FFFF00000000}"/>
  </bookViews>
  <sheets>
    <sheet name="Sheet1" sheetId="1" r:id="rId1"/>
    <sheet name="marker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5" i="2"/>
</calcChain>
</file>

<file path=xl/sharedStrings.xml><?xml version="1.0" encoding="utf-8"?>
<sst xmlns="http://schemas.openxmlformats.org/spreadsheetml/2006/main" count="246" uniqueCount="152">
  <si>
    <t>Traits</t>
    <phoneticPr fontId="1"/>
  </si>
  <si>
    <t>Standard length</t>
    <phoneticPr fontId="1"/>
  </si>
  <si>
    <t>Strain</t>
    <phoneticPr fontId="1"/>
  </si>
  <si>
    <t>Reference</t>
    <phoneticPr fontId="1"/>
  </si>
  <si>
    <t>This study</t>
    <phoneticPr fontId="1"/>
  </si>
  <si>
    <t>Frequency in mating dance</t>
    <phoneticPr fontId="1"/>
  </si>
  <si>
    <t>Frequency in approaching</t>
    <phoneticPr fontId="1"/>
  </si>
  <si>
    <t>Egg number</t>
    <phoneticPr fontId="1"/>
  </si>
  <si>
    <t>Latency to spawning</t>
    <phoneticPr fontId="1"/>
  </si>
  <si>
    <t>LOD score</t>
    <phoneticPr fontId="1"/>
  </si>
  <si>
    <r>
      <t>P</t>
    </r>
    <r>
      <rPr>
        <sz val="11"/>
        <color theme="1"/>
        <rFont val="Times New Roman"/>
        <family val="1"/>
      </rPr>
      <t xml:space="preserve"> value</t>
    </r>
    <phoneticPr fontId="1"/>
  </si>
  <si>
    <t>N</t>
    <phoneticPr fontId="1"/>
  </si>
  <si>
    <t>AFOM</t>
  </si>
  <si>
    <t>AFOM</t>
    <phoneticPr fontId="1"/>
  </si>
  <si>
    <t>OFAM</t>
    <phoneticPr fontId="1"/>
  </si>
  <si>
    <t>Position (cM)</t>
    <phoneticPr fontId="1"/>
  </si>
  <si>
    <t>95% CI (cM)</t>
    <phoneticPr fontId="1"/>
  </si>
  <si>
    <t>0 – 38</t>
    <phoneticPr fontId="1"/>
  </si>
  <si>
    <t>39 – 58</t>
    <phoneticPr fontId="1"/>
  </si>
  <si>
    <t>38 – 43</t>
    <phoneticPr fontId="1"/>
  </si>
  <si>
    <t>33 – 48</t>
    <phoneticPr fontId="1"/>
  </si>
  <si>
    <t>16 – 27</t>
    <phoneticPr fontId="1"/>
  </si>
  <si>
    <t>2 – 25</t>
    <phoneticPr fontId="1"/>
  </si>
  <si>
    <t>Body weight</t>
    <phoneticPr fontId="1"/>
  </si>
  <si>
    <t>Yassumoto et al. 2020</t>
    <phoneticPr fontId="1"/>
  </si>
  <si>
    <t>Anal fin length</t>
    <phoneticPr fontId="1"/>
  </si>
  <si>
    <t>22 – 71</t>
    <phoneticPr fontId="1"/>
  </si>
  <si>
    <t>14446184 – 23,089,271</t>
    <phoneticPr fontId="1"/>
  </si>
  <si>
    <t>0 – 40</t>
    <phoneticPr fontId="1"/>
  </si>
  <si>
    <t>6,679,666 – 27,205,023</t>
    <phoneticPr fontId="1"/>
  </si>
  <si>
    <t>Sex</t>
    <phoneticPr fontId="1"/>
  </si>
  <si>
    <t>M</t>
  </si>
  <si>
    <t>M</t>
    <phoneticPr fontId="1"/>
  </si>
  <si>
    <t>F</t>
    <phoneticPr fontId="1"/>
  </si>
  <si>
    <t>18 – 53</t>
    <phoneticPr fontId="1"/>
  </si>
  <si>
    <t>8 – 28</t>
    <phoneticPr fontId="1"/>
  </si>
  <si>
    <t>0 – 30</t>
    <phoneticPr fontId="1"/>
  </si>
  <si>
    <t>7,805,614 – 16,637,072</t>
    <phoneticPr fontId="1"/>
  </si>
  <si>
    <t>2,283,919 – 12,717,230</t>
    <phoneticPr fontId="1"/>
  </si>
  <si>
    <t>0 – 18</t>
    <phoneticPr fontId="1"/>
  </si>
  <si>
    <t>0 – 7</t>
    <phoneticPr fontId="1"/>
  </si>
  <si>
    <t>Maizuru and Ginoza</t>
    <phoneticPr fontId="1"/>
  </si>
  <si>
    <t>Dorasal fin length</t>
    <phoneticPr fontId="1"/>
  </si>
  <si>
    <t>Caudal fin length</t>
    <phoneticPr fontId="1"/>
  </si>
  <si>
    <t>15 – 23</t>
    <phoneticPr fontId="1"/>
  </si>
  <si>
    <t>0 – 9</t>
    <phoneticPr fontId="1"/>
  </si>
  <si>
    <t>11 – 21</t>
    <phoneticPr fontId="1"/>
  </si>
  <si>
    <t>0 – 36</t>
    <phoneticPr fontId="1"/>
  </si>
  <si>
    <t>2 – 37</t>
    <phoneticPr fontId="1"/>
  </si>
  <si>
    <t>0 – 26</t>
    <phoneticPr fontId="1"/>
  </si>
  <si>
    <t>14 – 32</t>
    <phoneticPr fontId="1"/>
  </si>
  <si>
    <t>14 – 40</t>
    <phoneticPr fontId="1"/>
  </si>
  <si>
    <t>0 – 27</t>
    <phoneticPr fontId="1"/>
  </si>
  <si>
    <t>4,994,871 – 22,555,806</t>
    <phoneticPr fontId="1"/>
  </si>
  <si>
    <t>&lt; 0.001</t>
    <phoneticPr fontId="1"/>
  </si>
  <si>
    <t>0 – 10</t>
    <phoneticPr fontId="1"/>
  </si>
  <si>
    <t>1,354,744 – 24,966,033</t>
    <phoneticPr fontId="1"/>
  </si>
  <si>
    <t>791,132 – 10,378,187</t>
    <phoneticPr fontId="1"/>
  </si>
  <si>
    <t>8 – 31</t>
    <phoneticPr fontId="1"/>
  </si>
  <si>
    <t xml:space="preserve"> 3,260,724 – 11,969,859</t>
    <phoneticPr fontId="1"/>
  </si>
  <si>
    <t>8 – 44</t>
    <phoneticPr fontId="1"/>
  </si>
  <si>
    <t xml:space="preserve"> 3,260,724 – 16,445,726</t>
    <phoneticPr fontId="1"/>
  </si>
  <si>
    <t>11,864,777 – 22,762,718</t>
    <phoneticPr fontId="1"/>
  </si>
  <si>
    <t>Number of papillary processes</t>
    <phoneticPr fontId="1"/>
  </si>
  <si>
    <t>20 – 58</t>
    <phoneticPr fontId="1"/>
  </si>
  <si>
    <t>40 – 58</t>
    <phoneticPr fontId="1"/>
  </si>
  <si>
    <t>12 – 38</t>
    <phoneticPr fontId="1"/>
  </si>
  <si>
    <t>Marker position (cM)</t>
    <phoneticPr fontId="1"/>
  </si>
  <si>
    <t>(Kawajiri et al. 2015, Table S8)</t>
    <phoneticPr fontId="1"/>
  </si>
  <si>
    <t>0 – 20</t>
    <phoneticPr fontId="1"/>
  </si>
  <si>
    <t>22 – 63</t>
    <phoneticPr fontId="1"/>
  </si>
  <si>
    <t>0 – 15</t>
    <phoneticPr fontId="1"/>
  </si>
  <si>
    <t>0 – 41</t>
    <phoneticPr fontId="1"/>
  </si>
  <si>
    <t>11 – 63</t>
    <phoneticPr fontId="1"/>
  </si>
  <si>
    <t>5,944,815 – 29,675,233</t>
    <phoneticPr fontId="1"/>
  </si>
  <si>
    <t>0 – 17</t>
    <phoneticPr fontId="1"/>
  </si>
  <si>
    <t>2,214,289 – 7,805,614</t>
    <phoneticPr fontId="1"/>
  </si>
  <si>
    <t xml:space="preserve"> 3,548,056 – 29,165,347</t>
    <phoneticPr fontId="1"/>
  </si>
  <si>
    <t>23,919,420 – 30,169,249</t>
    <phoneticPr fontId="1"/>
  </si>
  <si>
    <t>5,564,885 – 15,931,030</t>
    <phoneticPr fontId="1"/>
  </si>
  <si>
    <t>(Kawajiri et al. 2014, Table 1)</t>
  </si>
  <si>
    <t>(Kawajiri et al. 2015, Table 1)</t>
  </si>
  <si>
    <t>(Kawajiri et al. 2015, Table 2)</t>
  </si>
  <si>
    <t>35 – 42</t>
    <phoneticPr fontId="1"/>
  </si>
  <si>
    <t>37 – 68</t>
    <phoneticPr fontId="1"/>
  </si>
  <si>
    <t>15 – 40</t>
    <phoneticPr fontId="1"/>
  </si>
  <si>
    <t>25 – 58</t>
    <phoneticPr fontId="1"/>
  </si>
  <si>
    <t>24 – 58</t>
    <phoneticPr fontId="1"/>
  </si>
  <si>
    <t>22,636,715 – 28,493,922</t>
    <phoneticPr fontId="1"/>
  </si>
  <si>
    <t>12,814,606 – 27,205,023</t>
    <phoneticPr fontId="1"/>
  </si>
  <si>
    <t>969,878 – 15,980,029</t>
    <phoneticPr fontId="1"/>
  </si>
  <si>
    <t>11,864,777 – 22762718</t>
    <phoneticPr fontId="1"/>
  </si>
  <si>
    <t>(Kawajiri et al. 2015, Table 1)</t>
    <phoneticPr fontId="1"/>
  </si>
  <si>
    <t>Chr</t>
    <phoneticPr fontId="1"/>
  </si>
  <si>
    <t>Start</t>
    <phoneticPr fontId="1"/>
  </si>
  <si>
    <t>End</t>
    <phoneticPr fontId="1"/>
  </si>
  <si>
    <t>POS_old</t>
    <phoneticPr fontId="1"/>
  </si>
  <si>
    <t>markerName</t>
    <phoneticPr fontId="1"/>
  </si>
  <si>
    <t>POS_new</t>
    <phoneticPr fontId="1"/>
  </si>
  <si>
    <t>CHROM</t>
    <phoneticPr fontId="1"/>
  </si>
  <si>
    <t>cM</t>
    <phoneticPr fontId="1"/>
  </si>
  <si>
    <t>OL_U90_2417617</t>
    <phoneticPr fontId="1"/>
  </si>
  <si>
    <t>12,434,314 – NA</t>
    <phoneticPr fontId="1"/>
  </si>
  <si>
    <t>NA – 3,547,674</t>
    <phoneticPr fontId="1"/>
  </si>
  <si>
    <t>NA – 19,753,626</t>
    <phoneticPr fontId="1"/>
  </si>
  <si>
    <t>OL_C12_6679666</t>
  </si>
  <si>
    <t>OL_C12_27205023</t>
  </si>
  <si>
    <t>OL_C20_14446184</t>
  </si>
  <si>
    <t>OL_C20_23089271</t>
  </si>
  <si>
    <t>OL_C18_2283919</t>
  </si>
  <si>
    <t>OL_C23_11864777</t>
  </si>
  <si>
    <t>OL_C2_4994871</t>
  </si>
  <si>
    <t>OL_U115_1271338</t>
  </si>
  <si>
    <t>OL_C13_7805614</t>
  </si>
  <si>
    <t>OL_C14_1354744</t>
  </si>
  <si>
    <t>OL_C14_24966033</t>
  </si>
  <si>
    <t>OL_C15_5944815</t>
  </si>
  <si>
    <t>OL_C15_29675233</t>
  </si>
  <si>
    <t>OL_C19_791132</t>
  </si>
  <si>
    <t>OL_C19_10378187</t>
  </si>
  <si>
    <t>OL_C24_3260724</t>
  </si>
  <si>
    <t>OL_C24_11969859</t>
  </si>
  <si>
    <t>OL_C24_16445726</t>
  </si>
  <si>
    <t>OL_C11_3548056</t>
  </si>
  <si>
    <t>OL_C11_29165347</t>
  </si>
  <si>
    <t>OL_C17_23919420</t>
  </si>
  <si>
    <t>OL_C17_30169249</t>
  </si>
  <si>
    <t>OL_C19_5564885</t>
  </si>
  <si>
    <t>OL_C19_15931030</t>
  </si>
  <si>
    <t>OL_C4_22636715</t>
  </si>
  <si>
    <t>OL_C7_12434314</t>
  </si>
  <si>
    <t>OL_C12_12814606</t>
  </si>
  <si>
    <t>OL_C22_15980029</t>
  </si>
  <si>
    <t>OL_C23_22762718</t>
  </si>
  <si>
    <t>OL_C13_16637072</t>
  </si>
  <si>
    <t>OL_C18_12717230</t>
  </si>
  <si>
    <t>OL_C2_22555806</t>
  </si>
  <si>
    <t>OL_C10_3547674</t>
  </si>
  <si>
    <t>OL_C10_19753626</t>
  </si>
  <si>
    <t>OL_C13_2214289</t>
  </si>
  <si>
    <t>OL_C4_28493922</t>
  </si>
  <si>
    <t>OL_C22_969878</t>
  </si>
  <si>
    <t>HdrR, ASM31367v1</t>
    <phoneticPr fontId="1"/>
  </si>
  <si>
    <t>HdrR, ASM223467v1</t>
    <phoneticPr fontId="1"/>
  </si>
  <si>
    <t>HNI, ASM223471v1</t>
    <phoneticPr fontId="1"/>
  </si>
  <si>
    <r>
      <t>95% CI start (10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bp)</t>
    </r>
    <phoneticPr fontId="1"/>
  </si>
  <si>
    <r>
      <t>95% CI end (10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bp)</t>
    </r>
    <phoneticPr fontId="1"/>
  </si>
  <si>
    <t>Marker start position (bp)</t>
    <phoneticPr fontId="1"/>
  </si>
  <si>
    <t>Marker end position (bp)</t>
    <phoneticPr fontId="1"/>
  </si>
  <si>
    <t>NA</t>
  </si>
  <si>
    <t>Marker position (bp)</t>
    <phoneticPr fontId="1"/>
  </si>
  <si>
    <t>QTL candidate regions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</si>
</sst>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7" fontId="2" fillId="3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zoomScale="80" zoomScaleNormal="80" workbookViewId="0">
      <selection activeCell="V18" sqref="V18"/>
    </sheetView>
  </sheetViews>
  <sheetFormatPr defaultRowHeight="18.45" x14ac:dyDescent="0.65"/>
  <cols>
    <col min="1" max="1" width="2.640625" customWidth="1"/>
    <col min="2" max="2" width="2.140625" customWidth="1"/>
    <col min="3" max="3" width="24.0703125" customWidth="1"/>
    <col min="4" max="4" width="4.5" customWidth="1"/>
    <col min="5" max="5" width="3.85546875" bestFit="1" customWidth="1"/>
    <col min="6" max="6" width="5.0703125" customWidth="1"/>
    <col min="7" max="7" width="11.7109375" hidden="1" customWidth="1"/>
    <col min="8" max="8" width="17.42578125" hidden="1" customWidth="1"/>
    <col min="9" max="9" width="11.85546875" hidden="1" customWidth="1"/>
    <col min="10" max="10" width="9.140625" hidden="1" customWidth="1"/>
    <col min="11" max="11" width="7.42578125" hidden="1" customWidth="1"/>
    <col min="12" max="12" width="16.35546875" hidden="1" customWidth="1"/>
    <col min="13" max="13" width="1.42578125" hidden="1" customWidth="1"/>
    <col min="14" max="14" width="20.5" hidden="1" customWidth="1"/>
    <col min="15" max="15" width="2" hidden="1" customWidth="1"/>
    <col min="16" max="16" width="19.35546875" hidden="1" customWidth="1"/>
    <col min="17" max="17" width="19.640625" hidden="1" customWidth="1"/>
    <col min="18" max="18" width="18.35546875" hidden="1" customWidth="1"/>
    <col min="19" max="19" width="17.85546875" hidden="1" customWidth="1"/>
    <col min="20" max="20" width="1.92578125" hidden="1" customWidth="1"/>
    <col min="21" max="21" width="20.2109375" customWidth="1"/>
    <col min="22" max="22" width="20.5703125" customWidth="1"/>
    <col min="23" max="23" width="17.140625" customWidth="1"/>
    <col min="24" max="24" width="17.35546875" customWidth="1"/>
    <col min="25" max="25" width="1.92578125" customWidth="1"/>
    <col min="26" max="26" width="25.85546875" customWidth="1"/>
    <col min="27" max="27" width="3.140625" customWidth="1"/>
    <col min="28" max="28" width="4.0703125" customWidth="1"/>
  </cols>
  <sheetData>
    <row r="1" spans="1:28" ht="16" customHeight="1" x14ac:dyDescent="0.6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"/>
    </row>
    <row r="2" spans="1:28" ht="16" customHeight="1" x14ac:dyDescent="0.65">
      <c r="A2" s="1"/>
      <c r="B2" s="3"/>
      <c r="C2" s="18" t="s">
        <v>151</v>
      </c>
      <c r="D2" s="18"/>
      <c r="E2" s="18"/>
      <c r="F2" s="18"/>
      <c r="G2" s="18"/>
      <c r="H2" s="18"/>
      <c r="I2" s="18"/>
      <c r="J2" s="18"/>
      <c r="K2" s="18"/>
      <c r="L2" s="18"/>
      <c r="M2" s="2"/>
      <c r="N2" s="8" t="s">
        <v>142</v>
      </c>
      <c r="O2" s="7"/>
      <c r="P2" s="24" t="s">
        <v>143</v>
      </c>
      <c r="Q2" s="8"/>
      <c r="R2" s="18"/>
      <c r="S2" s="18"/>
      <c r="T2" s="2"/>
      <c r="U2" s="24" t="s">
        <v>144</v>
      </c>
      <c r="V2" s="8"/>
      <c r="W2" s="8"/>
      <c r="X2" s="8"/>
      <c r="Y2" s="2"/>
      <c r="Z2" s="18"/>
      <c r="AA2" s="3"/>
      <c r="AB2" s="1"/>
    </row>
    <row r="3" spans="1:28" x14ac:dyDescent="0.65">
      <c r="A3" s="2"/>
      <c r="B3" s="4"/>
      <c r="C3" s="5" t="s">
        <v>0</v>
      </c>
      <c r="D3" s="6" t="s">
        <v>11</v>
      </c>
      <c r="E3" s="5" t="s">
        <v>30</v>
      </c>
      <c r="F3" s="5" t="s">
        <v>93</v>
      </c>
      <c r="G3" s="5" t="s">
        <v>15</v>
      </c>
      <c r="H3" s="5" t="s">
        <v>67</v>
      </c>
      <c r="I3" s="5" t="s">
        <v>16</v>
      </c>
      <c r="J3" s="5" t="s">
        <v>9</v>
      </c>
      <c r="K3" s="6" t="s">
        <v>10</v>
      </c>
      <c r="L3" s="5" t="s">
        <v>2</v>
      </c>
      <c r="M3" s="17"/>
      <c r="N3" s="5" t="s">
        <v>150</v>
      </c>
      <c r="O3" s="8"/>
      <c r="P3" s="5" t="s">
        <v>147</v>
      </c>
      <c r="Q3" s="5" t="s">
        <v>148</v>
      </c>
      <c r="R3" s="5" t="s">
        <v>145</v>
      </c>
      <c r="S3" s="5" t="s">
        <v>146</v>
      </c>
      <c r="T3" s="8"/>
      <c r="U3" s="5" t="s">
        <v>147</v>
      </c>
      <c r="V3" s="5" t="s">
        <v>148</v>
      </c>
      <c r="W3" s="5" t="s">
        <v>145</v>
      </c>
      <c r="X3" s="5" t="s">
        <v>146</v>
      </c>
      <c r="Y3" s="8"/>
      <c r="Z3" s="5" t="s">
        <v>3</v>
      </c>
      <c r="AA3" s="4"/>
      <c r="AB3" s="1"/>
    </row>
    <row r="4" spans="1:28" x14ac:dyDescent="0.65">
      <c r="A4" s="2"/>
      <c r="B4" s="2"/>
      <c r="C4" s="7" t="s">
        <v>1</v>
      </c>
      <c r="D4" s="7">
        <v>101</v>
      </c>
      <c r="E4" s="7" t="s">
        <v>32</v>
      </c>
      <c r="F4" s="7">
        <v>12</v>
      </c>
      <c r="G4" s="7">
        <v>23</v>
      </c>
      <c r="H4" s="7" t="s">
        <v>28</v>
      </c>
      <c r="I4" s="7" t="s">
        <v>17</v>
      </c>
      <c r="J4" s="7">
        <v>3.92</v>
      </c>
      <c r="K4" s="7">
        <v>3.5999999999999997E-2</v>
      </c>
      <c r="L4" s="7" t="s">
        <v>13</v>
      </c>
      <c r="M4" s="7"/>
      <c r="N4" s="7" t="s">
        <v>29</v>
      </c>
      <c r="O4" s="7"/>
      <c r="P4" s="20">
        <v>7521864</v>
      </c>
      <c r="Q4" s="20">
        <v>27653638</v>
      </c>
      <c r="R4" s="15">
        <v>7.8140307517838803</v>
      </c>
      <c r="S4" s="15">
        <v>27.844933963608899</v>
      </c>
      <c r="T4" s="15"/>
      <c r="U4" s="20">
        <v>6738863</v>
      </c>
      <c r="V4" s="20">
        <v>25633070</v>
      </c>
      <c r="W4" s="15">
        <v>6.5000536974962992</v>
      </c>
      <c r="X4" s="15">
        <v>25.5520212544426</v>
      </c>
      <c r="Y4" s="7"/>
      <c r="Z4" s="7" t="s">
        <v>4</v>
      </c>
      <c r="AA4" s="2"/>
      <c r="AB4" s="1"/>
    </row>
    <row r="5" spans="1:28" x14ac:dyDescent="0.65">
      <c r="A5" s="2"/>
      <c r="B5" s="10"/>
      <c r="C5" s="11" t="s">
        <v>23</v>
      </c>
      <c r="D5" s="11">
        <v>126</v>
      </c>
      <c r="E5" s="11"/>
      <c r="F5" s="11">
        <v>4</v>
      </c>
      <c r="G5" s="11"/>
      <c r="H5" s="11" t="s">
        <v>39</v>
      </c>
      <c r="I5" s="11" t="s">
        <v>40</v>
      </c>
      <c r="J5" s="11">
        <v>4.1399999999999997</v>
      </c>
      <c r="K5" s="11"/>
      <c r="L5" s="11" t="s">
        <v>41</v>
      </c>
      <c r="M5" s="11"/>
      <c r="N5" s="11"/>
      <c r="O5" s="11"/>
      <c r="P5" s="19">
        <v>2380000</v>
      </c>
      <c r="Q5" s="19">
        <v>11010000</v>
      </c>
      <c r="R5" s="11"/>
      <c r="S5" s="11"/>
      <c r="T5" s="11"/>
      <c r="U5" s="19"/>
      <c r="V5" s="19"/>
      <c r="W5" s="11"/>
      <c r="X5" s="11"/>
      <c r="Y5" s="11"/>
      <c r="Z5" s="11" t="s">
        <v>24</v>
      </c>
      <c r="AA5" s="10"/>
      <c r="AB5" s="1"/>
    </row>
    <row r="6" spans="1:28" ht="18.55" customHeight="1" x14ac:dyDescent="0.65">
      <c r="A6" s="2"/>
      <c r="B6" s="2"/>
      <c r="C6" s="7" t="s">
        <v>43</v>
      </c>
      <c r="D6" s="7">
        <v>78</v>
      </c>
      <c r="E6" s="7" t="s">
        <v>32</v>
      </c>
      <c r="F6" s="7">
        <v>24</v>
      </c>
      <c r="G6" s="7">
        <v>27</v>
      </c>
      <c r="H6" s="7" t="s">
        <v>60</v>
      </c>
      <c r="I6" s="7" t="s">
        <v>51</v>
      </c>
      <c r="J6" s="7">
        <v>4.8</v>
      </c>
      <c r="K6" s="7">
        <v>4.0000000000000001E-3</v>
      </c>
      <c r="L6" s="7" t="s">
        <v>14</v>
      </c>
      <c r="M6" s="7"/>
      <c r="N6" s="7" t="s">
        <v>61</v>
      </c>
      <c r="O6" s="7"/>
      <c r="P6" s="20">
        <v>3895622</v>
      </c>
      <c r="Q6" s="20">
        <v>16377153</v>
      </c>
      <c r="R6" s="15">
        <v>5.5091668499122601</v>
      </c>
      <c r="S6" s="15">
        <v>14.7687966504106</v>
      </c>
      <c r="T6" s="15"/>
      <c r="U6" s="20">
        <v>3108154</v>
      </c>
      <c r="V6" s="20">
        <v>14967153</v>
      </c>
      <c r="W6" s="15">
        <v>4.3511792064825503</v>
      </c>
      <c r="X6" s="15">
        <v>13.48799804578</v>
      </c>
      <c r="Y6" s="7"/>
      <c r="Z6" s="7" t="s">
        <v>80</v>
      </c>
      <c r="AA6" s="2"/>
      <c r="AB6" s="1"/>
    </row>
    <row r="7" spans="1:28" x14ac:dyDescent="0.65">
      <c r="A7" s="2"/>
      <c r="B7" s="10"/>
      <c r="C7" s="11" t="s">
        <v>7</v>
      </c>
      <c r="D7" s="11">
        <v>65</v>
      </c>
      <c r="E7" s="11" t="s">
        <v>33</v>
      </c>
      <c r="F7" s="11">
        <v>23</v>
      </c>
      <c r="G7" s="11">
        <v>40.9</v>
      </c>
      <c r="H7" s="11" t="s">
        <v>34</v>
      </c>
      <c r="I7" s="11" t="s">
        <v>20</v>
      </c>
      <c r="J7" s="11">
        <v>4.1500000000000004</v>
      </c>
      <c r="K7" s="11">
        <v>3.6999999999999998E-2</v>
      </c>
      <c r="L7" s="11" t="s">
        <v>14</v>
      </c>
      <c r="M7" s="11"/>
      <c r="N7" s="12" t="s">
        <v>62</v>
      </c>
      <c r="O7" s="12"/>
      <c r="P7" s="19">
        <v>12211987</v>
      </c>
      <c r="Q7" s="19">
        <v>22204938</v>
      </c>
      <c r="R7" s="16">
        <v>15.487111152735901</v>
      </c>
      <c r="S7" s="16">
        <v>20.2268256115768</v>
      </c>
      <c r="T7" s="16"/>
      <c r="U7" s="19">
        <v>11162265</v>
      </c>
      <c r="V7" s="19">
        <v>21023582</v>
      </c>
      <c r="W7" s="16">
        <v>14.5009647381099</v>
      </c>
      <c r="X7" s="16">
        <v>19.091014983828103</v>
      </c>
      <c r="Y7" s="11"/>
      <c r="Z7" s="11" t="s">
        <v>4</v>
      </c>
      <c r="AA7" s="10"/>
      <c r="AB7" s="1"/>
    </row>
    <row r="8" spans="1:28" x14ac:dyDescent="0.65">
      <c r="A8" s="2"/>
      <c r="B8" s="2"/>
      <c r="C8" s="7" t="s">
        <v>8</v>
      </c>
      <c r="D8" s="7">
        <v>46</v>
      </c>
      <c r="E8" s="7" t="s">
        <v>33</v>
      </c>
      <c r="F8" s="7">
        <v>13</v>
      </c>
      <c r="G8" s="7">
        <v>23</v>
      </c>
      <c r="H8" s="7" t="s">
        <v>35</v>
      </c>
      <c r="I8" s="7" t="s">
        <v>21</v>
      </c>
      <c r="J8" s="7">
        <v>4.33</v>
      </c>
      <c r="K8" s="7">
        <v>3.9E-2</v>
      </c>
      <c r="L8" s="7" t="s">
        <v>14</v>
      </c>
      <c r="M8" s="7"/>
      <c r="N8" s="9" t="s">
        <v>37</v>
      </c>
      <c r="O8" s="9"/>
      <c r="P8" s="20">
        <v>8545224</v>
      </c>
      <c r="Q8" s="20">
        <v>17174355</v>
      </c>
      <c r="R8" s="15">
        <v>10.436318982387199</v>
      </c>
      <c r="S8" s="15">
        <v>16.2436779343133</v>
      </c>
      <c r="T8" s="15"/>
      <c r="U8" s="20">
        <v>7543870</v>
      </c>
      <c r="V8" s="20" t="s">
        <v>149</v>
      </c>
      <c r="W8" s="15">
        <v>9.6469925075026985</v>
      </c>
      <c r="X8" s="15">
        <v>15.141745931378999</v>
      </c>
      <c r="Y8" s="7"/>
      <c r="Z8" s="7" t="s">
        <v>4</v>
      </c>
      <c r="AA8" s="2"/>
      <c r="AB8" s="1"/>
    </row>
    <row r="9" spans="1:28" x14ac:dyDescent="0.65">
      <c r="A9" s="2"/>
      <c r="B9" s="2"/>
      <c r="C9" s="7"/>
      <c r="D9" s="7">
        <v>46</v>
      </c>
      <c r="E9" s="7" t="s">
        <v>33</v>
      </c>
      <c r="F9" s="7">
        <v>18</v>
      </c>
      <c r="G9" s="7">
        <v>13</v>
      </c>
      <c r="H9" s="7" t="s">
        <v>36</v>
      </c>
      <c r="I9" s="7" t="s">
        <v>22</v>
      </c>
      <c r="J9" s="7">
        <v>4.26</v>
      </c>
      <c r="K9" s="7">
        <v>4.3999999999999997E-2</v>
      </c>
      <c r="L9" s="7" t="s">
        <v>14</v>
      </c>
      <c r="M9" s="7"/>
      <c r="N9" s="7" t="s">
        <v>38</v>
      </c>
      <c r="O9" s="7"/>
      <c r="P9" s="20">
        <v>3032736</v>
      </c>
      <c r="Q9" s="20">
        <v>13161342</v>
      </c>
      <c r="R9" s="15">
        <v>4.7365452500957099</v>
      </c>
      <c r="S9" s="15">
        <v>14.262923889796499</v>
      </c>
      <c r="T9" s="15"/>
      <c r="U9" s="20" t="s">
        <v>149</v>
      </c>
      <c r="V9" s="20">
        <v>12121743</v>
      </c>
      <c r="W9" s="15">
        <v>3.1919921192176997</v>
      </c>
      <c r="X9" s="15">
        <v>12.420049265856299</v>
      </c>
      <c r="Y9" s="7"/>
      <c r="Z9" s="7" t="s">
        <v>4</v>
      </c>
      <c r="AA9" s="2"/>
      <c r="AB9" s="1"/>
    </row>
    <row r="10" spans="1:28" x14ac:dyDescent="0.65">
      <c r="A10" s="2"/>
      <c r="B10" s="10"/>
      <c r="C10" s="11" t="s">
        <v>5</v>
      </c>
      <c r="D10" s="11">
        <v>80</v>
      </c>
      <c r="E10" s="11" t="s">
        <v>32</v>
      </c>
      <c r="F10" s="11">
        <v>20</v>
      </c>
      <c r="G10" s="11">
        <v>46</v>
      </c>
      <c r="H10" s="11" t="s">
        <v>26</v>
      </c>
      <c r="I10" s="11" t="s">
        <v>18</v>
      </c>
      <c r="J10" s="11">
        <v>4.53</v>
      </c>
      <c r="K10" s="11">
        <v>1.6E-2</v>
      </c>
      <c r="L10" s="11" t="s">
        <v>13</v>
      </c>
      <c r="M10" s="11"/>
      <c r="N10" s="12" t="s">
        <v>27</v>
      </c>
      <c r="O10" s="12"/>
      <c r="P10" s="19">
        <v>16251251</v>
      </c>
      <c r="Q10" s="19">
        <v>24503093</v>
      </c>
      <c r="R10" s="16">
        <v>21.043658628204902</v>
      </c>
      <c r="S10" s="16">
        <v>22.8779856694924</v>
      </c>
      <c r="T10" s="16"/>
      <c r="U10" s="19">
        <v>14704372</v>
      </c>
      <c r="V10" s="19">
        <v>22860082</v>
      </c>
      <c r="W10" s="16">
        <v>19.245520396702499</v>
      </c>
      <c r="X10" s="16">
        <v>21.229753892647402</v>
      </c>
      <c r="Y10" s="11"/>
      <c r="Z10" s="11" t="s">
        <v>4</v>
      </c>
      <c r="AA10" s="10"/>
      <c r="AB10" s="1"/>
    </row>
    <row r="11" spans="1:28" x14ac:dyDescent="0.65">
      <c r="A11" s="2"/>
      <c r="B11" s="10"/>
      <c r="C11" s="11" t="s">
        <v>6</v>
      </c>
      <c r="D11" s="11">
        <v>80</v>
      </c>
      <c r="E11" s="11" t="s">
        <v>32</v>
      </c>
      <c r="F11" s="11">
        <v>20</v>
      </c>
      <c r="G11" s="11">
        <v>39</v>
      </c>
      <c r="H11" s="11" t="s">
        <v>26</v>
      </c>
      <c r="I11" s="11" t="s">
        <v>19</v>
      </c>
      <c r="J11" s="11">
        <v>8.11</v>
      </c>
      <c r="K11" s="11">
        <v>1.4E-2</v>
      </c>
      <c r="L11" s="11" t="s">
        <v>13</v>
      </c>
      <c r="M11" s="11"/>
      <c r="N11" s="12" t="s">
        <v>27</v>
      </c>
      <c r="O11" s="12"/>
      <c r="P11" s="19">
        <v>16251251</v>
      </c>
      <c r="Q11" s="19">
        <v>24503093</v>
      </c>
      <c r="R11" s="16">
        <v>20.9276857783582</v>
      </c>
      <c r="S11" s="16">
        <v>21.4459343500227</v>
      </c>
      <c r="T11" s="16"/>
      <c r="U11" s="19">
        <v>14704372</v>
      </c>
      <c r="V11" s="19">
        <v>22860082</v>
      </c>
      <c r="W11" s="16">
        <v>19.120746140505702</v>
      </c>
      <c r="X11" s="16">
        <v>19.687337125991</v>
      </c>
      <c r="Y11" s="11"/>
      <c r="Z11" s="11" t="s">
        <v>4</v>
      </c>
      <c r="AA11" s="10"/>
      <c r="AB11" s="1"/>
    </row>
    <row r="12" spans="1:28" x14ac:dyDescent="0.65">
      <c r="A12" s="2"/>
      <c r="B12" s="2"/>
      <c r="C12" s="7" t="s">
        <v>42</v>
      </c>
      <c r="D12" s="7">
        <v>78</v>
      </c>
      <c r="E12" s="7" t="s">
        <v>32</v>
      </c>
      <c r="F12" s="7">
        <v>24</v>
      </c>
      <c r="G12" s="7">
        <v>16.440000000000001</v>
      </c>
      <c r="H12" s="7" t="s">
        <v>60</v>
      </c>
      <c r="I12" s="7" t="s">
        <v>50</v>
      </c>
      <c r="J12" s="7">
        <v>6.02</v>
      </c>
      <c r="K12" s="7" t="s">
        <v>54</v>
      </c>
      <c r="L12" s="7" t="s">
        <v>14</v>
      </c>
      <c r="M12" s="7"/>
      <c r="N12" s="7" t="s">
        <v>61</v>
      </c>
      <c r="O12" s="7"/>
      <c r="P12" s="20">
        <v>3895622</v>
      </c>
      <c r="Q12" s="20">
        <v>16377153</v>
      </c>
      <c r="R12" s="15">
        <v>5.5091668499122601</v>
      </c>
      <c r="S12" s="15">
        <v>11.817227532123599</v>
      </c>
      <c r="T12" s="15"/>
      <c r="U12" s="20">
        <v>3108154</v>
      </c>
      <c r="V12" s="20">
        <v>14967153</v>
      </c>
      <c r="W12" s="15">
        <v>4.3511792064825503</v>
      </c>
      <c r="X12" s="15">
        <v>10.676669172148001</v>
      </c>
      <c r="Y12" s="7"/>
      <c r="Z12" s="7" t="s">
        <v>80</v>
      </c>
      <c r="AA12" s="2"/>
      <c r="AB12" s="1"/>
    </row>
    <row r="13" spans="1:28" x14ac:dyDescent="0.65">
      <c r="A13" s="2"/>
      <c r="B13" s="10"/>
      <c r="C13" s="11" t="s">
        <v>25</v>
      </c>
      <c r="D13" s="11">
        <v>78</v>
      </c>
      <c r="E13" s="11" t="s">
        <v>32</v>
      </c>
      <c r="F13" s="11">
        <v>2</v>
      </c>
      <c r="G13" s="11">
        <v>20</v>
      </c>
      <c r="H13" s="11" t="s">
        <v>52</v>
      </c>
      <c r="I13" s="11" t="s">
        <v>44</v>
      </c>
      <c r="J13" s="11">
        <v>4.57</v>
      </c>
      <c r="K13" s="11">
        <v>7.0000000000000001E-3</v>
      </c>
      <c r="L13" s="11" t="s">
        <v>14</v>
      </c>
      <c r="M13" s="11"/>
      <c r="N13" s="11" t="s">
        <v>53</v>
      </c>
      <c r="O13" s="11"/>
      <c r="P13" s="19">
        <v>2243689</v>
      </c>
      <c r="Q13" s="19">
        <v>16061183</v>
      </c>
      <c r="R13" s="16">
        <v>9.4936819785977189</v>
      </c>
      <c r="S13" s="16">
        <v>13.182195867169199</v>
      </c>
      <c r="T13" s="16"/>
      <c r="U13" s="19">
        <v>2094927</v>
      </c>
      <c r="V13" s="19">
        <v>13672057</v>
      </c>
      <c r="W13" s="16">
        <v>8.0979823281789898</v>
      </c>
      <c r="X13" s="16">
        <v>11.3882761897368</v>
      </c>
      <c r="Y13" s="12"/>
      <c r="Z13" s="11" t="s">
        <v>80</v>
      </c>
      <c r="AA13" s="10"/>
      <c r="AB13" s="1"/>
    </row>
    <row r="14" spans="1:28" x14ac:dyDescent="0.65">
      <c r="A14" s="2"/>
      <c r="B14" s="10"/>
      <c r="C14" s="11"/>
      <c r="D14" s="11">
        <v>78</v>
      </c>
      <c r="E14" s="11" t="s">
        <v>32</v>
      </c>
      <c r="F14" s="11">
        <v>10</v>
      </c>
      <c r="G14" s="11">
        <v>1.6</v>
      </c>
      <c r="H14" s="11" t="s">
        <v>55</v>
      </c>
      <c r="I14" s="11" t="s">
        <v>45</v>
      </c>
      <c r="J14" s="11">
        <v>3.61</v>
      </c>
      <c r="K14" s="11">
        <v>4.7E-2</v>
      </c>
      <c r="L14" s="11" t="s">
        <v>14</v>
      </c>
      <c r="M14" s="11"/>
      <c r="N14" s="12" t="s">
        <v>103</v>
      </c>
      <c r="O14" s="12"/>
      <c r="P14" s="19">
        <v>1194455</v>
      </c>
      <c r="Q14" s="19">
        <v>8139540</v>
      </c>
      <c r="R14" s="16">
        <v>1.7325321899597901</v>
      </c>
      <c r="S14" s="16">
        <v>5.7997483726439993</v>
      </c>
      <c r="T14" s="16"/>
      <c r="U14" s="19" t="s">
        <v>149</v>
      </c>
      <c r="V14" s="19">
        <v>6883106</v>
      </c>
      <c r="W14" s="16">
        <v>1.48547866732166</v>
      </c>
      <c r="X14" s="16">
        <v>4.9076753956891901</v>
      </c>
      <c r="Y14" s="11"/>
      <c r="Z14" s="11" t="s">
        <v>80</v>
      </c>
      <c r="AA14" s="10"/>
      <c r="AB14" s="1"/>
    </row>
    <row r="15" spans="1:28" x14ac:dyDescent="0.65">
      <c r="A15" s="2"/>
      <c r="B15" s="10"/>
      <c r="C15" s="11"/>
      <c r="D15" s="11">
        <v>102</v>
      </c>
      <c r="E15" s="11" t="s">
        <v>32</v>
      </c>
      <c r="F15" s="11">
        <v>10</v>
      </c>
      <c r="G15" s="11">
        <v>4</v>
      </c>
      <c r="H15" s="11" t="s">
        <v>72</v>
      </c>
      <c r="I15" s="11" t="s">
        <v>69</v>
      </c>
      <c r="J15" s="11">
        <v>4.96</v>
      </c>
      <c r="K15" s="11">
        <v>4.0000000000000001E-3</v>
      </c>
      <c r="L15" s="11" t="s">
        <v>13</v>
      </c>
      <c r="M15" s="11"/>
      <c r="N15" s="12" t="s">
        <v>104</v>
      </c>
      <c r="O15" s="12"/>
      <c r="P15" s="19">
        <v>1194455</v>
      </c>
      <c r="Q15" s="19">
        <v>23451194</v>
      </c>
      <c r="R15" s="16">
        <v>0.98887048232496</v>
      </c>
      <c r="S15" s="16">
        <v>12.719722005003899</v>
      </c>
      <c r="T15" s="16"/>
      <c r="U15" s="19" t="s">
        <v>149</v>
      </c>
      <c r="V15" s="19">
        <v>21740156</v>
      </c>
      <c r="W15" s="16">
        <v>0</v>
      </c>
      <c r="X15" s="16">
        <v>11.4434498895166</v>
      </c>
      <c r="Y15" s="12"/>
      <c r="Z15" s="11" t="s">
        <v>68</v>
      </c>
      <c r="AA15" s="10"/>
      <c r="AB15" s="1"/>
    </row>
    <row r="16" spans="1:28" x14ac:dyDescent="0.65">
      <c r="A16" s="2"/>
      <c r="B16" s="10"/>
      <c r="C16" s="11"/>
      <c r="D16" s="11">
        <v>102</v>
      </c>
      <c r="E16" s="11" t="s">
        <v>32</v>
      </c>
      <c r="F16" s="11">
        <v>13</v>
      </c>
      <c r="G16" s="11">
        <v>10</v>
      </c>
      <c r="H16" s="11" t="s">
        <v>75</v>
      </c>
      <c r="I16" s="11" t="s">
        <v>71</v>
      </c>
      <c r="J16" s="11">
        <v>3.73</v>
      </c>
      <c r="K16" s="11">
        <v>4.5999999999999999E-2</v>
      </c>
      <c r="L16" s="11" t="s">
        <v>13</v>
      </c>
      <c r="M16" s="11"/>
      <c r="N16" s="11" t="s">
        <v>76</v>
      </c>
      <c r="O16" s="11"/>
      <c r="P16" s="19">
        <v>3095677</v>
      </c>
      <c r="Q16" s="19">
        <v>8545224</v>
      </c>
      <c r="R16" s="16">
        <v>3.9021430116173601</v>
      </c>
      <c r="S16" s="16">
        <v>8.0487090554540792</v>
      </c>
      <c r="T16" s="16"/>
      <c r="U16" s="19">
        <v>2062027</v>
      </c>
      <c r="V16" s="19">
        <v>7543870</v>
      </c>
      <c r="W16" s="16">
        <v>2.9135553105888903</v>
      </c>
      <c r="X16" s="16">
        <v>6.9874130304920099</v>
      </c>
      <c r="Y16" s="11"/>
      <c r="Z16" s="11" t="s">
        <v>68</v>
      </c>
      <c r="AA16" s="10"/>
      <c r="AB16" s="1"/>
    </row>
    <row r="17" spans="1:28" x14ac:dyDescent="0.65">
      <c r="A17" s="2"/>
      <c r="B17" s="10"/>
      <c r="C17" s="11"/>
      <c r="D17" s="11">
        <v>78</v>
      </c>
      <c r="E17" s="11" t="s">
        <v>32</v>
      </c>
      <c r="F17" s="11">
        <v>14</v>
      </c>
      <c r="G17" s="11">
        <v>1.64</v>
      </c>
      <c r="H17" s="11" t="s">
        <v>28</v>
      </c>
      <c r="I17" s="11" t="s">
        <v>48</v>
      </c>
      <c r="J17" s="11">
        <v>4.25</v>
      </c>
      <c r="K17" s="11">
        <v>2.3E-2</v>
      </c>
      <c r="L17" s="11" t="s">
        <v>14</v>
      </c>
      <c r="M17" s="11"/>
      <c r="N17" s="11" t="s">
        <v>56</v>
      </c>
      <c r="O17" s="11"/>
      <c r="P17" s="19">
        <v>2737356</v>
      </c>
      <c r="Q17" s="19">
        <v>24125532</v>
      </c>
      <c r="R17" s="16">
        <v>4.2856407223711299</v>
      </c>
      <c r="S17" s="16">
        <v>21.592701004805402</v>
      </c>
      <c r="T17" s="16"/>
      <c r="U17" s="19">
        <v>1904363</v>
      </c>
      <c r="V17" s="19">
        <v>22495894</v>
      </c>
      <c r="W17" s="16">
        <v>3.18169437602843</v>
      </c>
      <c r="X17" s="16">
        <v>19.9260772177681</v>
      </c>
      <c r="Y17" s="11"/>
      <c r="Z17" s="11" t="s">
        <v>80</v>
      </c>
      <c r="AA17" s="10"/>
      <c r="AB17" s="1"/>
    </row>
    <row r="18" spans="1:28" x14ac:dyDescent="0.65">
      <c r="A18" s="2"/>
      <c r="B18" s="10"/>
      <c r="C18" s="11"/>
      <c r="D18" s="11">
        <v>102</v>
      </c>
      <c r="E18" s="11" t="s">
        <v>32</v>
      </c>
      <c r="F18" s="11">
        <v>15</v>
      </c>
      <c r="G18" s="11">
        <v>60</v>
      </c>
      <c r="H18" s="11" t="s">
        <v>73</v>
      </c>
      <c r="I18" s="11" t="s">
        <v>70</v>
      </c>
      <c r="J18" s="11">
        <v>4.24</v>
      </c>
      <c r="K18" s="11">
        <v>1.7000000000000001E-2</v>
      </c>
      <c r="L18" s="11" t="s">
        <v>13</v>
      </c>
      <c r="M18" s="11"/>
      <c r="N18" s="12" t="s">
        <v>74</v>
      </c>
      <c r="O18" s="12"/>
      <c r="P18" s="19">
        <v>6713271</v>
      </c>
      <c r="Q18" s="19">
        <v>30135737</v>
      </c>
      <c r="R18" s="16">
        <v>14.391432575425601</v>
      </c>
      <c r="S18" s="16">
        <v>32.054867573036702</v>
      </c>
      <c r="T18" s="16"/>
      <c r="U18" s="19">
        <v>5511414</v>
      </c>
      <c r="V18" s="19">
        <v>28451599</v>
      </c>
      <c r="W18" s="16">
        <v>13.233579797555201</v>
      </c>
      <c r="X18" s="16">
        <v>30.760874455189601</v>
      </c>
      <c r="Y18" s="11"/>
      <c r="Z18" s="11" t="s">
        <v>68</v>
      </c>
      <c r="AA18" s="10"/>
      <c r="AB18" s="1"/>
    </row>
    <row r="19" spans="1:28" x14ac:dyDescent="0.65">
      <c r="A19" s="2"/>
      <c r="B19" s="10"/>
      <c r="C19" s="11"/>
      <c r="D19" s="11">
        <v>78</v>
      </c>
      <c r="E19" s="11" t="s">
        <v>32</v>
      </c>
      <c r="F19" s="11">
        <v>19</v>
      </c>
      <c r="G19" s="11">
        <v>6</v>
      </c>
      <c r="H19" s="11" t="s">
        <v>52</v>
      </c>
      <c r="I19" s="11" t="s">
        <v>49</v>
      </c>
      <c r="J19" s="11">
        <v>3.98</v>
      </c>
      <c r="K19" s="11">
        <v>3.9E-2</v>
      </c>
      <c r="L19" s="11" t="s">
        <v>14</v>
      </c>
      <c r="M19" s="11"/>
      <c r="N19" s="11" t="s">
        <v>57</v>
      </c>
      <c r="O19" s="11"/>
      <c r="P19" s="19">
        <v>2377785</v>
      </c>
      <c r="Q19" s="19">
        <v>11352044</v>
      </c>
      <c r="R19" s="16">
        <v>2.2035717388759899</v>
      </c>
      <c r="S19" s="16">
        <v>10.053077024595101</v>
      </c>
      <c r="T19" s="16"/>
      <c r="U19" s="19">
        <v>2021910</v>
      </c>
      <c r="V19" s="19">
        <v>10205784</v>
      </c>
      <c r="W19" s="16">
        <v>1.88618088231768</v>
      </c>
      <c r="X19" s="16">
        <v>9.0981816945704086</v>
      </c>
      <c r="Y19" s="11"/>
      <c r="Z19" s="11" t="s">
        <v>80</v>
      </c>
      <c r="AA19" s="10"/>
      <c r="AB19" s="1"/>
    </row>
    <row r="20" spans="1:28" x14ac:dyDescent="0.65">
      <c r="A20" s="2"/>
      <c r="B20" s="10"/>
      <c r="C20" s="11"/>
      <c r="D20" s="11">
        <v>78</v>
      </c>
      <c r="E20" s="11" t="s">
        <v>32</v>
      </c>
      <c r="F20" s="11">
        <v>24</v>
      </c>
      <c r="G20" s="11">
        <v>16.440000000000001</v>
      </c>
      <c r="H20" s="11" t="s">
        <v>58</v>
      </c>
      <c r="I20" s="11" t="s">
        <v>46</v>
      </c>
      <c r="J20" s="11">
        <v>5.29</v>
      </c>
      <c r="K20" s="11">
        <v>2E-3</v>
      </c>
      <c r="L20" s="11" t="s">
        <v>14</v>
      </c>
      <c r="M20" s="11"/>
      <c r="N20" s="11" t="s">
        <v>59</v>
      </c>
      <c r="O20" s="11"/>
      <c r="P20" s="19">
        <v>3895622</v>
      </c>
      <c r="Q20" s="19">
        <v>12222514</v>
      </c>
      <c r="R20" s="16">
        <v>4.4994682247341498</v>
      </c>
      <c r="S20" s="16">
        <v>7.9061277642397796</v>
      </c>
      <c r="T20" s="16"/>
      <c r="U20" s="19">
        <v>3108154</v>
      </c>
      <c r="V20" s="19">
        <v>10974901</v>
      </c>
      <c r="W20" s="16">
        <v>3.2969308788720202</v>
      </c>
      <c r="X20" s="16">
        <v>6.8110919709073601</v>
      </c>
      <c r="Y20" s="11"/>
      <c r="Z20" s="11" t="s">
        <v>80</v>
      </c>
      <c r="AA20" s="10"/>
      <c r="AB20" s="1"/>
    </row>
    <row r="21" spans="1:28" x14ac:dyDescent="0.65">
      <c r="A21" s="2"/>
      <c r="B21" s="2"/>
      <c r="C21" s="7" t="s">
        <v>63</v>
      </c>
      <c r="D21" s="7">
        <v>78</v>
      </c>
      <c r="E21" s="7" t="s">
        <v>32</v>
      </c>
      <c r="F21" s="7">
        <v>11</v>
      </c>
      <c r="G21" s="7">
        <v>45</v>
      </c>
      <c r="H21" s="7" t="s">
        <v>64</v>
      </c>
      <c r="I21" s="7" t="s">
        <v>64</v>
      </c>
      <c r="J21" s="7">
        <v>4.09</v>
      </c>
      <c r="K21" s="7" t="s">
        <v>54</v>
      </c>
      <c r="L21" s="7" t="s">
        <v>14</v>
      </c>
      <c r="M21" s="7"/>
      <c r="N21" s="7" t="s">
        <v>77</v>
      </c>
      <c r="O21" s="7"/>
      <c r="P21" s="20">
        <v>4655149</v>
      </c>
      <c r="Q21" s="20">
        <v>27977183</v>
      </c>
      <c r="R21" s="15">
        <v>7.1950084032410899</v>
      </c>
      <c r="S21" s="15">
        <v>25.982672625646099</v>
      </c>
      <c r="T21" s="15"/>
      <c r="U21" s="20">
        <v>3215262</v>
      </c>
      <c r="V21" s="20">
        <v>25303108</v>
      </c>
      <c r="W21" s="15">
        <v>3.9689131420014396</v>
      </c>
      <c r="X21" s="15">
        <v>20.1880359063219</v>
      </c>
      <c r="Y21" s="7"/>
      <c r="Z21" s="7" t="s">
        <v>92</v>
      </c>
      <c r="AA21" s="2"/>
      <c r="AB21" s="1"/>
    </row>
    <row r="22" spans="1:28" x14ac:dyDescent="0.65">
      <c r="A22" s="2"/>
      <c r="B22" s="2"/>
      <c r="C22" s="7"/>
      <c r="D22" s="7">
        <v>78</v>
      </c>
      <c r="E22" s="7" t="s">
        <v>32</v>
      </c>
      <c r="F22" s="7">
        <v>17</v>
      </c>
      <c r="G22" s="7">
        <v>55</v>
      </c>
      <c r="H22" s="7" t="s">
        <v>65</v>
      </c>
      <c r="I22" s="7" t="s">
        <v>65</v>
      </c>
      <c r="J22" s="7">
        <v>4.43</v>
      </c>
      <c r="K22" s="7">
        <v>3.0000000000000001E-3</v>
      </c>
      <c r="L22" s="7" t="s">
        <v>14</v>
      </c>
      <c r="M22" s="7"/>
      <c r="N22" s="7" t="s">
        <v>78</v>
      </c>
      <c r="O22" s="7"/>
      <c r="P22" s="20">
        <v>23370961</v>
      </c>
      <c r="Q22" s="20">
        <v>29208667</v>
      </c>
      <c r="R22" s="15">
        <v>22.980633947989798</v>
      </c>
      <c r="S22" s="15">
        <v>29.6447191563757</v>
      </c>
      <c r="T22" s="15"/>
      <c r="U22" s="20">
        <v>20495662</v>
      </c>
      <c r="V22" s="20">
        <v>26406866</v>
      </c>
      <c r="W22" s="15">
        <v>20.167075955128599</v>
      </c>
      <c r="X22" s="15">
        <v>26.886937244628999</v>
      </c>
      <c r="Y22" s="7"/>
      <c r="Z22" s="7" t="s">
        <v>81</v>
      </c>
      <c r="AA22" s="2"/>
      <c r="AB22" s="1"/>
    </row>
    <row r="23" spans="1:28" x14ac:dyDescent="0.65">
      <c r="A23" s="2"/>
      <c r="B23" s="2"/>
      <c r="C23" s="7"/>
      <c r="D23" s="7">
        <v>78</v>
      </c>
      <c r="E23" s="7" t="s">
        <v>32</v>
      </c>
      <c r="F23" s="7">
        <v>19</v>
      </c>
      <c r="G23" s="7">
        <v>30</v>
      </c>
      <c r="H23" s="7" t="s">
        <v>66</v>
      </c>
      <c r="I23" s="7" t="s">
        <v>66</v>
      </c>
      <c r="J23" s="7">
        <v>5.52</v>
      </c>
      <c r="K23" s="7" t="s">
        <v>54</v>
      </c>
      <c r="L23" s="7" t="s">
        <v>14</v>
      </c>
      <c r="M23" s="7"/>
      <c r="N23" s="7" t="s">
        <v>79</v>
      </c>
      <c r="O23" s="7"/>
      <c r="P23" s="20">
        <v>6469743</v>
      </c>
      <c r="Q23" s="20">
        <v>16259784</v>
      </c>
      <c r="R23" s="15">
        <v>6.1029312895555705</v>
      </c>
      <c r="S23" s="15">
        <v>16.707450216941201</v>
      </c>
      <c r="T23" s="15"/>
      <c r="U23" s="20">
        <v>5648026</v>
      </c>
      <c r="V23" s="20">
        <v>14409246</v>
      </c>
      <c r="W23" s="15">
        <v>5.3669356599955504</v>
      </c>
      <c r="X23" s="15">
        <v>14.8029777983673</v>
      </c>
      <c r="Y23" s="7"/>
      <c r="Z23" s="7" t="s">
        <v>81</v>
      </c>
      <c r="AA23" s="2"/>
      <c r="AB23" s="1"/>
    </row>
    <row r="24" spans="1:28" x14ac:dyDescent="0.65">
      <c r="A24" s="2"/>
      <c r="B24" s="2"/>
      <c r="C24" s="7"/>
      <c r="D24" s="7">
        <v>102</v>
      </c>
      <c r="E24" s="7" t="s">
        <v>31</v>
      </c>
      <c r="F24" s="7">
        <v>4</v>
      </c>
      <c r="G24" s="7">
        <v>40</v>
      </c>
      <c r="H24" s="7" t="s">
        <v>83</v>
      </c>
      <c r="I24" s="7" t="s">
        <v>83</v>
      </c>
      <c r="J24" s="7">
        <v>2.86</v>
      </c>
      <c r="K24" s="7" t="s">
        <v>54</v>
      </c>
      <c r="L24" s="7" t="s">
        <v>13</v>
      </c>
      <c r="M24" s="7"/>
      <c r="N24" s="7" t="s">
        <v>88</v>
      </c>
      <c r="O24" s="7"/>
      <c r="P24" s="20">
        <v>21369513</v>
      </c>
      <c r="Q24" s="20">
        <v>27081925</v>
      </c>
      <c r="R24" s="15">
        <v>21.268346007501201</v>
      </c>
      <c r="S24" s="15">
        <v>26.717689944823398</v>
      </c>
      <c r="T24" s="15"/>
      <c r="U24" s="20">
        <v>21297895</v>
      </c>
      <c r="V24" s="20">
        <v>26359867</v>
      </c>
      <c r="W24" s="15">
        <v>21.2548140405083</v>
      </c>
      <c r="X24" s="15">
        <v>26.131993978424198</v>
      </c>
      <c r="Y24" s="7"/>
      <c r="Z24" s="7" t="s">
        <v>82</v>
      </c>
      <c r="AA24" s="2"/>
      <c r="AB24" s="1"/>
    </row>
    <row r="25" spans="1:28" x14ac:dyDescent="0.65">
      <c r="A25" s="2"/>
      <c r="B25" s="2"/>
      <c r="C25" s="7"/>
      <c r="D25" s="7">
        <v>102</v>
      </c>
      <c r="E25" s="7" t="s">
        <v>31</v>
      </c>
      <c r="F25" s="7">
        <v>7</v>
      </c>
      <c r="G25" s="7">
        <v>45</v>
      </c>
      <c r="H25" s="7" t="s">
        <v>84</v>
      </c>
      <c r="I25" s="7" t="s">
        <v>84</v>
      </c>
      <c r="J25" s="7">
        <v>2.35</v>
      </c>
      <c r="K25" s="7">
        <v>5.0000000000000001E-3</v>
      </c>
      <c r="L25" s="7" t="s">
        <v>12</v>
      </c>
      <c r="M25" s="7"/>
      <c r="N25" s="9" t="s">
        <v>102</v>
      </c>
      <c r="O25" s="9"/>
      <c r="P25" s="20">
        <v>12291223</v>
      </c>
      <c r="Q25" s="20">
        <v>30096988</v>
      </c>
      <c r="R25" s="15">
        <v>17.589013951308601</v>
      </c>
      <c r="S25" s="15">
        <v>31.453447970005801</v>
      </c>
      <c r="T25" s="15"/>
      <c r="U25" s="20">
        <v>12128140</v>
      </c>
      <c r="V25" s="20">
        <v>29415306</v>
      </c>
      <c r="W25" s="15">
        <v>17.232541484585099</v>
      </c>
      <c r="X25" s="15">
        <v>30.680647564346998</v>
      </c>
      <c r="Y25" s="9"/>
      <c r="Z25" s="7" t="s">
        <v>82</v>
      </c>
      <c r="AA25" s="2"/>
      <c r="AB25" s="1"/>
    </row>
    <row r="26" spans="1:28" x14ac:dyDescent="0.65">
      <c r="A26" s="2"/>
      <c r="B26" s="2"/>
      <c r="C26" s="7"/>
      <c r="D26" s="7">
        <v>102</v>
      </c>
      <c r="E26" s="7" t="s">
        <v>31</v>
      </c>
      <c r="F26" s="7">
        <v>12</v>
      </c>
      <c r="G26" s="7">
        <v>20</v>
      </c>
      <c r="H26" s="7" t="s">
        <v>85</v>
      </c>
      <c r="I26" s="7" t="s">
        <v>85</v>
      </c>
      <c r="J26" s="7">
        <v>2.38</v>
      </c>
      <c r="K26" s="7">
        <v>1.4999999999999999E-2</v>
      </c>
      <c r="L26" s="7" t="s">
        <v>12</v>
      </c>
      <c r="M26" s="7"/>
      <c r="N26" s="9" t="s">
        <v>89</v>
      </c>
      <c r="O26" s="9"/>
      <c r="P26" s="20">
        <v>13256865</v>
      </c>
      <c r="Q26" s="20">
        <v>27653638</v>
      </c>
      <c r="R26" s="15">
        <v>14.177582605547</v>
      </c>
      <c r="S26" s="15">
        <v>28.992001192126899</v>
      </c>
      <c r="T26" s="15"/>
      <c r="U26" s="20">
        <v>12503194</v>
      </c>
      <c r="V26" s="20">
        <v>25633070</v>
      </c>
      <c r="W26" s="15">
        <v>13.8243707549069</v>
      </c>
      <c r="X26" s="15">
        <v>26.579198864522098</v>
      </c>
      <c r="Y26" s="9"/>
      <c r="Z26" s="7" t="s">
        <v>82</v>
      </c>
      <c r="AA26" s="2"/>
      <c r="AB26" s="1"/>
    </row>
    <row r="27" spans="1:28" x14ac:dyDescent="0.65">
      <c r="A27" s="2"/>
      <c r="B27" s="2"/>
      <c r="C27" s="7"/>
      <c r="D27" s="7">
        <v>102</v>
      </c>
      <c r="E27" s="7" t="s">
        <v>31</v>
      </c>
      <c r="F27" s="7">
        <v>22</v>
      </c>
      <c r="G27" s="7">
        <v>30</v>
      </c>
      <c r="H27" s="7" t="s">
        <v>17</v>
      </c>
      <c r="I27" s="7" t="s">
        <v>47</v>
      </c>
      <c r="J27" s="7">
        <v>3.06</v>
      </c>
      <c r="K27" s="7" t="s">
        <v>54</v>
      </c>
      <c r="L27" s="7" t="s">
        <v>12</v>
      </c>
      <c r="M27" s="7"/>
      <c r="N27" s="9" t="s">
        <v>90</v>
      </c>
      <c r="O27" s="9"/>
      <c r="P27" s="20">
        <v>1598077</v>
      </c>
      <c r="Q27" s="20">
        <v>16264412</v>
      </c>
      <c r="R27" s="15">
        <v>1.2163733607268501</v>
      </c>
      <c r="S27" s="15">
        <v>15.0445274944255</v>
      </c>
      <c r="T27" s="15"/>
      <c r="U27" s="20">
        <v>1157957</v>
      </c>
      <c r="V27" s="20">
        <v>15778861</v>
      </c>
      <c r="W27" s="15">
        <v>0.750058065908348</v>
      </c>
      <c r="X27" s="15">
        <v>14.526337577421799</v>
      </c>
      <c r="Y27" s="7"/>
      <c r="Z27" s="7" t="s">
        <v>82</v>
      </c>
      <c r="AA27" s="2"/>
      <c r="AB27" s="1"/>
    </row>
    <row r="28" spans="1:28" x14ac:dyDescent="0.65">
      <c r="A28" s="2"/>
      <c r="B28" s="18"/>
      <c r="C28" s="8"/>
      <c r="D28" s="8">
        <v>102</v>
      </c>
      <c r="E28" s="8" t="s">
        <v>31</v>
      </c>
      <c r="F28" s="8">
        <v>23</v>
      </c>
      <c r="G28" s="8">
        <v>58</v>
      </c>
      <c r="H28" s="8" t="s">
        <v>87</v>
      </c>
      <c r="I28" s="8" t="s">
        <v>86</v>
      </c>
      <c r="J28" s="8">
        <v>3.06</v>
      </c>
      <c r="K28" s="8">
        <v>1E-3</v>
      </c>
      <c r="L28" s="8" t="s">
        <v>12</v>
      </c>
      <c r="M28" s="8"/>
      <c r="N28" s="21" t="s">
        <v>91</v>
      </c>
      <c r="O28" s="21"/>
      <c r="P28" s="22">
        <v>12211987</v>
      </c>
      <c r="Q28" s="22">
        <v>22204938</v>
      </c>
      <c r="R28" s="23">
        <v>11.621559887738499</v>
      </c>
      <c r="S28" s="23">
        <v>23.9235617884361</v>
      </c>
      <c r="T28" s="23"/>
      <c r="U28" s="22">
        <v>11162265</v>
      </c>
      <c r="V28" s="22">
        <v>21023582</v>
      </c>
      <c r="W28" s="23">
        <v>10.8317732881989</v>
      </c>
      <c r="X28" s="23">
        <v>22.623054181184401</v>
      </c>
      <c r="Y28" s="21"/>
      <c r="Z28" s="8" t="s">
        <v>82</v>
      </c>
      <c r="AA28" s="18"/>
      <c r="AB28" s="1"/>
    </row>
    <row r="29" spans="1:28" x14ac:dyDescent="0.65">
      <c r="A29" s="2"/>
      <c r="B29" s="2"/>
      <c r="C29" s="2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2"/>
      <c r="AB29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FCEA-22A4-4979-8674-B31B0E8FF518}">
  <dimension ref="B1:L30"/>
  <sheetViews>
    <sheetView workbookViewId="0">
      <selection activeCell="L13" sqref="L13"/>
    </sheetView>
  </sheetViews>
  <sheetFormatPr defaultRowHeight="18.45" x14ac:dyDescent="0.65"/>
  <cols>
    <col min="4" max="4" width="10.140625" bestFit="1" customWidth="1"/>
    <col min="5" max="5" width="22.7109375" bestFit="1" customWidth="1"/>
    <col min="6" max="6" width="10.140625" bestFit="1" customWidth="1"/>
    <col min="7" max="7" width="2.640625" customWidth="1"/>
    <col min="8" max="8" width="10.140625" bestFit="1" customWidth="1"/>
    <col min="9" max="9" width="23.7109375" bestFit="1" customWidth="1"/>
    <col min="10" max="11" width="10.140625" bestFit="1" customWidth="1"/>
  </cols>
  <sheetData>
    <row r="1" spans="2:12" x14ac:dyDescent="0.65"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2:12" x14ac:dyDescent="0.65">
      <c r="D2" s="14" t="s">
        <v>94</v>
      </c>
      <c r="E2" s="14"/>
      <c r="F2" s="14"/>
      <c r="H2" s="14" t="s">
        <v>95</v>
      </c>
      <c r="I2" s="14"/>
      <c r="J2" s="14"/>
      <c r="K2" s="14"/>
    </row>
    <row r="3" spans="2:12" x14ac:dyDescent="0.65">
      <c r="B3" s="14" t="s">
        <v>99</v>
      </c>
      <c r="C3" s="14" t="s">
        <v>100</v>
      </c>
      <c r="D3" s="14" t="s">
        <v>96</v>
      </c>
      <c r="E3" s="14" t="s">
        <v>97</v>
      </c>
      <c r="F3" s="14" t="s">
        <v>98</v>
      </c>
      <c r="G3" s="14"/>
      <c r="H3" s="14"/>
      <c r="I3" s="14"/>
      <c r="J3" s="14"/>
      <c r="K3" s="14"/>
    </row>
    <row r="4" spans="2:12" x14ac:dyDescent="0.65">
      <c r="B4">
        <v>4</v>
      </c>
      <c r="F4" s="13">
        <v>2380000</v>
      </c>
      <c r="G4" s="13"/>
      <c r="J4" s="13">
        <v>11010000</v>
      </c>
      <c r="K4" s="13"/>
    </row>
    <row r="5" spans="2:12" x14ac:dyDescent="0.65">
      <c r="B5">
        <v>12</v>
      </c>
      <c r="C5">
        <v>23</v>
      </c>
      <c r="D5" s="13">
        <v>6679666</v>
      </c>
      <c r="E5" s="13" t="s">
        <v>105</v>
      </c>
      <c r="F5" s="13">
        <v>7521863</v>
      </c>
      <c r="G5" s="13"/>
      <c r="H5" s="13">
        <v>27205023</v>
      </c>
      <c r="I5" t="s">
        <v>106</v>
      </c>
      <c r="J5">
        <v>27653637</v>
      </c>
      <c r="L5" t="str">
        <f>CONCATENATE(F5," - ", J5)</f>
        <v>7521863 - 27653637</v>
      </c>
    </row>
    <row r="6" spans="2:12" x14ac:dyDescent="0.65">
      <c r="B6">
        <v>20</v>
      </c>
      <c r="C6">
        <v>46</v>
      </c>
      <c r="D6">
        <v>14446184</v>
      </c>
      <c r="E6" t="s">
        <v>107</v>
      </c>
      <c r="F6">
        <v>16251250</v>
      </c>
      <c r="H6" s="13">
        <v>23089271</v>
      </c>
      <c r="I6" t="s">
        <v>108</v>
      </c>
      <c r="J6">
        <v>24503092</v>
      </c>
      <c r="L6" t="str">
        <f t="shared" ref="L6:L28" si="0">CONCATENATE(F6," - ", J6)</f>
        <v>16251250 - 24503092</v>
      </c>
    </row>
    <row r="7" spans="2:12" x14ac:dyDescent="0.65">
      <c r="B7">
        <v>20</v>
      </c>
      <c r="C7">
        <v>39</v>
      </c>
      <c r="D7">
        <v>14446184</v>
      </c>
      <c r="E7" t="s">
        <v>107</v>
      </c>
      <c r="F7">
        <v>16251250</v>
      </c>
      <c r="H7" s="13">
        <v>23089271</v>
      </c>
      <c r="I7" t="s">
        <v>108</v>
      </c>
      <c r="J7">
        <v>24503092</v>
      </c>
      <c r="L7" t="str">
        <f t="shared" si="0"/>
        <v>16251250 - 24503092</v>
      </c>
    </row>
    <row r="8" spans="2:12" x14ac:dyDescent="0.65">
      <c r="B8">
        <v>13</v>
      </c>
      <c r="C8">
        <v>23</v>
      </c>
      <c r="D8" s="13">
        <v>7805614</v>
      </c>
      <c r="E8" s="13" t="s">
        <v>113</v>
      </c>
      <c r="F8" s="13">
        <v>8545223</v>
      </c>
      <c r="G8" s="13"/>
      <c r="H8" s="13">
        <v>16637072</v>
      </c>
      <c r="I8" t="s">
        <v>134</v>
      </c>
      <c r="J8">
        <v>17174354</v>
      </c>
      <c r="L8" t="str">
        <f t="shared" si="0"/>
        <v>8545223 - 17174354</v>
      </c>
    </row>
    <row r="9" spans="2:12" x14ac:dyDescent="0.65">
      <c r="B9">
        <v>18</v>
      </c>
      <c r="C9">
        <v>13</v>
      </c>
      <c r="D9" s="13">
        <v>2283919</v>
      </c>
      <c r="E9" s="13" t="s">
        <v>109</v>
      </c>
      <c r="F9" s="13">
        <v>3032735</v>
      </c>
      <c r="G9" s="13"/>
      <c r="H9" s="13">
        <v>12717230</v>
      </c>
      <c r="I9" t="s">
        <v>135</v>
      </c>
      <c r="J9">
        <v>13161341</v>
      </c>
      <c r="L9" t="str">
        <f t="shared" si="0"/>
        <v>3032735 - 13161341</v>
      </c>
    </row>
    <row r="10" spans="2:12" x14ac:dyDescent="0.65">
      <c r="B10">
        <v>23</v>
      </c>
      <c r="C10">
        <v>40.9</v>
      </c>
      <c r="D10" s="13">
        <v>11864777</v>
      </c>
      <c r="E10" s="13" t="s">
        <v>110</v>
      </c>
      <c r="F10" s="13">
        <v>12211986</v>
      </c>
      <c r="G10" s="13"/>
      <c r="H10" s="13">
        <v>22762718</v>
      </c>
      <c r="I10" t="s">
        <v>133</v>
      </c>
      <c r="J10">
        <v>22204937</v>
      </c>
      <c r="L10" t="str">
        <f t="shared" si="0"/>
        <v>12211986 - 22204937</v>
      </c>
    </row>
    <row r="11" spans="2:12" x14ac:dyDescent="0.65">
      <c r="B11">
        <v>2</v>
      </c>
      <c r="C11">
        <v>20</v>
      </c>
      <c r="D11" s="13">
        <v>4994871</v>
      </c>
      <c r="E11" s="13" t="s">
        <v>111</v>
      </c>
      <c r="F11" s="13">
        <v>2243688</v>
      </c>
      <c r="G11" s="13"/>
      <c r="H11" s="13">
        <v>22555806</v>
      </c>
      <c r="I11" t="s">
        <v>136</v>
      </c>
      <c r="J11">
        <v>16061182</v>
      </c>
      <c r="L11" t="str">
        <f t="shared" si="0"/>
        <v>2243688 - 16061182</v>
      </c>
    </row>
    <row r="12" spans="2:12" x14ac:dyDescent="0.65">
      <c r="B12">
        <v>10</v>
      </c>
      <c r="C12">
        <v>1.6</v>
      </c>
      <c r="D12" s="13">
        <v>1271338</v>
      </c>
      <c r="E12" s="13" t="s">
        <v>112</v>
      </c>
      <c r="F12" s="13">
        <v>1194454</v>
      </c>
      <c r="G12" s="13"/>
      <c r="H12" s="13">
        <v>3547674</v>
      </c>
      <c r="I12" t="s">
        <v>137</v>
      </c>
      <c r="J12">
        <v>8139539</v>
      </c>
      <c r="L12" t="str">
        <f t="shared" si="0"/>
        <v>1194454 - 8139539</v>
      </c>
    </row>
    <row r="13" spans="2:12" x14ac:dyDescent="0.65">
      <c r="B13">
        <v>10</v>
      </c>
      <c r="C13">
        <v>4</v>
      </c>
      <c r="D13" s="13">
        <v>1271338</v>
      </c>
      <c r="E13" s="13" t="s">
        <v>112</v>
      </c>
      <c r="F13" s="13">
        <v>1194454</v>
      </c>
      <c r="G13" s="13"/>
      <c r="H13" s="13">
        <v>19753626</v>
      </c>
      <c r="I13" t="s">
        <v>138</v>
      </c>
      <c r="J13">
        <v>23451193</v>
      </c>
      <c r="L13" t="str">
        <f t="shared" si="0"/>
        <v>1194454 - 23451193</v>
      </c>
    </row>
    <row r="14" spans="2:12" x14ac:dyDescent="0.65">
      <c r="B14">
        <v>13</v>
      </c>
      <c r="C14">
        <v>10</v>
      </c>
      <c r="D14" s="13">
        <v>2214289</v>
      </c>
      <c r="E14" s="13" t="s">
        <v>139</v>
      </c>
      <c r="F14" s="13">
        <v>3095676</v>
      </c>
      <c r="G14" s="13"/>
      <c r="H14" s="13">
        <v>7805614</v>
      </c>
      <c r="I14" t="s">
        <v>113</v>
      </c>
      <c r="J14">
        <v>8545223</v>
      </c>
      <c r="L14" t="str">
        <f t="shared" si="0"/>
        <v>3095676 - 8545223</v>
      </c>
    </row>
    <row r="15" spans="2:12" x14ac:dyDescent="0.65">
      <c r="B15">
        <v>14</v>
      </c>
      <c r="C15">
        <v>1.64</v>
      </c>
      <c r="D15" s="13">
        <v>1354744</v>
      </c>
      <c r="E15" s="13" t="s">
        <v>114</v>
      </c>
      <c r="F15" s="13">
        <v>2737355</v>
      </c>
      <c r="G15" s="13"/>
      <c r="H15" s="13">
        <v>24966033</v>
      </c>
      <c r="I15" t="s">
        <v>115</v>
      </c>
      <c r="J15">
        <v>24125531</v>
      </c>
      <c r="L15" t="str">
        <f t="shared" si="0"/>
        <v>2737355 - 24125531</v>
      </c>
    </row>
    <row r="16" spans="2:12" x14ac:dyDescent="0.65">
      <c r="B16">
        <v>15</v>
      </c>
      <c r="C16">
        <v>60</v>
      </c>
      <c r="D16" s="13">
        <v>5944815</v>
      </c>
      <c r="E16" s="13" t="s">
        <v>116</v>
      </c>
      <c r="F16" s="13">
        <v>6713270</v>
      </c>
      <c r="G16" s="13"/>
      <c r="H16" s="13">
        <v>29675233</v>
      </c>
      <c r="I16" t="s">
        <v>117</v>
      </c>
      <c r="J16">
        <v>30135736</v>
      </c>
      <c r="L16" t="str">
        <f t="shared" si="0"/>
        <v>6713270 - 30135736</v>
      </c>
    </row>
    <row r="17" spans="2:12" x14ac:dyDescent="0.65">
      <c r="B17">
        <v>19</v>
      </c>
      <c r="C17">
        <v>6</v>
      </c>
      <c r="D17" s="13">
        <v>791132</v>
      </c>
      <c r="E17" s="13" t="s">
        <v>118</v>
      </c>
      <c r="F17" s="13">
        <v>2377784</v>
      </c>
      <c r="G17" s="13"/>
      <c r="H17" s="13">
        <v>10378187</v>
      </c>
      <c r="I17" t="s">
        <v>119</v>
      </c>
      <c r="J17">
        <v>11352043</v>
      </c>
      <c r="L17" t="str">
        <f t="shared" si="0"/>
        <v>2377784 - 11352043</v>
      </c>
    </row>
    <row r="18" spans="2:12" x14ac:dyDescent="0.65">
      <c r="B18">
        <v>24</v>
      </c>
      <c r="C18">
        <v>16.440000000000001</v>
      </c>
      <c r="D18" s="13">
        <v>3260724</v>
      </c>
      <c r="E18" s="13" t="s">
        <v>120</v>
      </c>
      <c r="F18" s="13">
        <v>3895621</v>
      </c>
      <c r="G18" s="13"/>
      <c r="H18" s="13">
        <v>11969859</v>
      </c>
      <c r="I18" t="s">
        <v>121</v>
      </c>
      <c r="J18">
        <v>12222513</v>
      </c>
      <c r="L18" t="str">
        <f t="shared" si="0"/>
        <v>3895621 - 12222513</v>
      </c>
    </row>
    <row r="19" spans="2:12" x14ac:dyDescent="0.65">
      <c r="B19">
        <v>24</v>
      </c>
      <c r="C19">
        <v>16.440000000000001</v>
      </c>
      <c r="D19" s="13">
        <v>3260724</v>
      </c>
      <c r="E19" s="13" t="s">
        <v>120</v>
      </c>
      <c r="F19" s="13">
        <v>3895621</v>
      </c>
      <c r="G19" s="13"/>
      <c r="H19" s="13">
        <v>16445726</v>
      </c>
      <c r="I19" t="s">
        <v>122</v>
      </c>
      <c r="J19">
        <v>16377152</v>
      </c>
      <c r="L19" t="str">
        <f t="shared" si="0"/>
        <v>3895621 - 16377152</v>
      </c>
    </row>
    <row r="20" spans="2:12" x14ac:dyDescent="0.65">
      <c r="B20">
        <v>24</v>
      </c>
      <c r="C20">
        <v>27</v>
      </c>
      <c r="D20" s="13">
        <v>3260724</v>
      </c>
      <c r="E20" s="13" t="s">
        <v>120</v>
      </c>
      <c r="F20" s="13">
        <v>3895621</v>
      </c>
      <c r="G20" s="13"/>
      <c r="H20" s="13">
        <v>16445726</v>
      </c>
      <c r="I20" t="s">
        <v>122</v>
      </c>
      <c r="J20">
        <v>16377152</v>
      </c>
      <c r="L20" t="str">
        <f t="shared" si="0"/>
        <v>3895621 - 16377152</v>
      </c>
    </row>
    <row r="21" spans="2:12" x14ac:dyDescent="0.65">
      <c r="B21">
        <v>11</v>
      </c>
      <c r="C21">
        <v>45</v>
      </c>
      <c r="D21" s="13">
        <v>3548056</v>
      </c>
      <c r="E21" s="13" t="s">
        <v>123</v>
      </c>
      <c r="F21" s="13">
        <v>4655148</v>
      </c>
      <c r="G21" s="13"/>
      <c r="H21" s="13">
        <v>29165347</v>
      </c>
      <c r="I21" t="s">
        <v>124</v>
      </c>
      <c r="J21">
        <v>27977182</v>
      </c>
      <c r="L21" t="str">
        <f t="shared" si="0"/>
        <v>4655148 - 27977182</v>
      </c>
    </row>
    <row r="22" spans="2:12" x14ac:dyDescent="0.65">
      <c r="B22">
        <v>17</v>
      </c>
      <c r="C22">
        <v>55</v>
      </c>
      <c r="D22" s="13">
        <v>23919420</v>
      </c>
      <c r="E22" s="13" t="s">
        <v>125</v>
      </c>
      <c r="F22" s="13">
        <v>23370960</v>
      </c>
      <c r="G22" s="13"/>
      <c r="H22" s="13">
        <v>30169249</v>
      </c>
      <c r="I22" t="s">
        <v>126</v>
      </c>
      <c r="J22">
        <v>29208666</v>
      </c>
      <c r="L22" t="str">
        <f t="shared" si="0"/>
        <v>23370960 - 29208666</v>
      </c>
    </row>
    <row r="23" spans="2:12" x14ac:dyDescent="0.65">
      <c r="B23">
        <v>19</v>
      </c>
      <c r="C23">
        <v>30</v>
      </c>
      <c r="D23" s="13">
        <v>5564885</v>
      </c>
      <c r="E23" s="13" t="s">
        <v>127</v>
      </c>
      <c r="F23" s="13">
        <v>6469742</v>
      </c>
      <c r="G23" s="13"/>
      <c r="H23" s="13">
        <v>15931030</v>
      </c>
      <c r="I23" t="s">
        <v>128</v>
      </c>
      <c r="J23">
        <v>16259783</v>
      </c>
      <c r="L23" t="str">
        <f t="shared" si="0"/>
        <v>6469742 - 16259783</v>
      </c>
    </row>
    <row r="24" spans="2:12" x14ac:dyDescent="0.65">
      <c r="B24">
        <v>4</v>
      </c>
      <c r="C24">
        <v>40</v>
      </c>
      <c r="D24" s="13">
        <v>22636715</v>
      </c>
      <c r="E24" s="13" t="s">
        <v>129</v>
      </c>
      <c r="F24" s="13">
        <v>21369512</v>
      </c>
      <c r="G24" s="13"/>
      <c r="H24" s="13">
        <v>28493922</v>
      </c>
      <c r="I24" t="s">
        <v>140</v>
      </c>
      <c r="J24">
        <v>27081924</v>
      </c>
      <c r="L24" t="str">
        <f t="shared" si="0"/>
        <v>21369512 - 27081924</v>
      </c>
    </row>
    <row r="25" spans="2:12" x14ac:dyDescent="0.65">
      <c r="B25">
        <v>7</v>
      </c>
      <c r="C25">
        <v>45</v>
      </c>
      <c r="D25" s="13">
        <v>11769320</v>
      </c>
      <c r="E25" s="13" t="s">
        <v>130</v>
      </c>
      <c r="F25" s="13">
        <v>12291222</v>
      </c>
      <c r="G25" s="13"/>
      <c r="H25" s="13">
        <v>27988465</v>
      </c>
      <c r="I25" t="s">
        <v>101</v>
      </c>
      <c r="J25">
        <v>30096987</v>
      </c>
      <c r="L25" t="str">
        <f t="shared" si="0"/>
        <v>12291222 - 30096987</v>
      </c>
    </row>
    <row r="26" spans="2:12" x14ac:dyDescent="0.65">
      <c r="B26">
        <v>12</v>
      </c>
      <c r="C26">
        <v>20</v>
      </c>
      <c r="D26" s="13">
        <v>12814606</v>
      </c>
      <c r="E26" s="13" t="s">
        <v>131</v>
      </c>
      <c r="F26" s="13">
        <v>13256864</v>
      </c>
      <c r="G26" s="13"/>
      <c r="H26" s="13">
        <v>27205023</v>
      </c>
      <c r="I26" t="s">
        <v>106</v>
      </c>
      <c r="J26">
        <v>27653637</v>
      </c>
      <c r="L26" t="str">
        <f t="shared" si="0"/>
        <v>13256864 - 27653637</v>
      </c>
    </row>
    <row r="27" spans="2:12" x14ac:dyDescent="0.65">
      <c r="B27">
        <v>22</v>
      </c>
      <c r="C27">
        <v>30</v>
      </c>
      <c r="D27" s="13">
        <v>969878</v>
      </c>
      <c r="E27" s="13" t="s">
        <v>141</v>
      </c>
      <c r="F27" s="13">
        <v>1598076</v>
      </c>
      <c r="G27" s="13"/>
      <c r="H27" s="13">
        <v>15980029</v>
      </c>
      <c r="I27" t="s">
        <v>132</v>
      </c>
      <c r="J27">
        <v>16264411</v>
      </c>
      <c r="L27" t="str">
        <f t="shared" si="0"/>
        <v>1598076 - 16264411</v>
      </c>
    </row>
    <row r="28" spans="2:12" x14ac:dyDescent="0.65">
      <c r="B28">
        <v>23</v>
      </c>
      <c r="C28">
        <v>58</v>
      </c>
      <c r="D28" s="13">
        <v>11864777</v>
      </c>
      <c r="E28" s="13" t="s">
        <v>110</v>
      </c>
      <c r="F28" s="13">
        <v>12211986</v>
      </c>
      <c r="G28" s="13"/>
      <c r="H28">
        <v>22762718</v>
      </c>
      <c r="I28" t="s">
        <v>133</v>
      </c>
      <c r="J28">
        <v>22204937</v>
      </c>
      <c r="L28" t="str">
        <f t="shared" si="0"/>
        <v>12211986 - 22204937</v>
      </c>
    </row>
    <row r="29" spans="2:12" x14ac:dyDescent="0.65">
      <c r="B29">
        <v>16</v>
      </c>
      <c r="C29">
        <v>30</v>
      </c>
      <c r="D29" s="13"/>
      <c r="E29" s="13"/>
      <c r="F29" s="13"/>
      <c r="G29" s="13"/>
      <c r="H29" s="13"/>
    </row>
    <row r="30" spans="2:12" x14ac:dyDescent="0.65">
      <c r="D30" s="13"/>
      <c r="E30" s="13"/>
      <c r="F30" s="13"/>
      <c r="G30" s="13"/>
      <c r="H30" s="1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markerInformation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藤本真悟</dc:creator>
  <cp:lastModifiedBy>真悟</cp:lastModifiedBy>
  <dcterms:created xsi:type="dcterms:W3CDTF">2022-03-07T04:42:19Z</dcterms:created>
  <dcterms:modified xsi:type="dcterms:W3CDTF">2025-04-16T08:28:01Z</dcterms:modified>
</cp:coreProperties>
</file>