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study\論文原稿\0_behaviorQTL\図表\"/>
    </mc:Choice>
  </mc:AlternateContent>
  <xr:revisionPtr revIDLastSave="0" documentId="13_ncr:1_{4564DC3F-2282-4E62-8510-BBD9E124E711}" xr6:coauthVersionLast="47" xr6:coauthVersionMax="47" xr10:uidLastSave="{00000000-0000-0000-0000-000000000000}"/>
  <bookViews>
    <workbookView xWindow="15680" yWindow="780" windowWidth="16480" windowHeight="17680" xr2:uid="{00000000-000D-0000-FFFF-FFFF00000000}"/>
  </bookViews>
  <sheets>
    <sheet name="Sheet1" sheetId="1" r:id="rId1"/>
    <sheet name="marker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5" i="2"/>
</calcChain>
</file>

<file path=xl/sharedStrings.xml><?xml version="1.0" encoding="utf-8"?>
<sst xmlns="http://schemas.openxmlformats.org/spreadsheetml/2006/main" count="122" uniqueCount="100">
  <si>
    <t>Standard length</t>
    <phoneticPr fontId="1"/>
  </si>
  <si>
    <t>Strain</t>
    <phoneticPr fontId="1"/>
  </si>
  <si>
    <t>Frequency in approaching</t>
    <phoneticPr fontId="1"/>
  </si>
  <si>
    <t>LOD score</t>
    <phoneticPr fontId="1"/>
  </si>
  <si>
    <r>
      <t>P</t>
    </r>
    <r>
      <rPr>
        <sz val="11"/>
        <color theme="1"/>
        <rFont val="Times New Roman"/>
        <family val="1"/>
      </rPr>
      <t xml:space="preserve"> value</t>
    </r>
    <phoneticPr fontId="1"/>
  </si>
  <si>
    <t>N</t>
    <phoneticPr fontId="1"/>
  </si>
  <si>
    <t>AFOM</t>
    <phoneticPr fontId="1"/>
  </si>
  <si>
    <t>OFAM</t>
    <phoneticPr fontId="1"/>
  </si>
  <si>
    <t>Position (cM)</t>
    <phoneticPr fontId="1"/>
  </si>
  <si>
    <t>95% CI (cM)</t>
    <phoneticPr fontId="1"/>
  </si>
  <si>
    <t>0 – 38</t>
    <phoneticPr fontId="1"/>
  </si>
  <si>
    <t>39 – 58</t>
    <phoneticPr fontId="1"/>
  </si>
  <si>
    <t>38 – 43</t>
    <phoneticPr fontId="1"/>
  </si>
  <si>
    <t>33 – 48</t>
    <phoneticPr fontId="1"/>
  </si>
  <si>
    <t>16 – 27</t>
    <phoneticPr fontId="1"/>
  </si>
  <si>
    <t>2 – 25</t>
    <phoneticPr fontId="1"/>
  </si>
  <si>
    <t>22 – 71</t>
    <phoneticPr fontId="1"/>
  </si>
  <si>
    <t>14446184 – 23,089,271</t>
    <phoneticPr fontId="1"/>
  </si>
  <si>
    <t>0 – 40</t>
    <phoneticPr fontId="1"/>
  </si>
  <si>
    <t>6,679,666 – 27,205,023</t>
    <phoneticPr fontId="1"/>
  </si>
  <si>
    <t>Sex</t>
    <phoneticPr fontId="1"/>
  </si>
  <si>
    <t>M</t>
    <phoneticPr fontId="1"/>
  </si>
  <si>
    <t>F</t>
    <phoneticPr fontId="1"/>
  </si>
  <si>
    <t>18 – 53</t>
    <phoneticPr fontId="1"/>
  </si>
  <si>
    <t>8 – 28</t>
    <phoneticPr fontId="1"/>
  </si>
  <si>
    <t>0 – 30</t>
    <phoneticPr fontId="1"/>
  </si>
  <si>
    <t>7,805,614 – 16,637,072</t>
    <phoneticPr fontId="1"/>
  </si>
  <si>
    <t>2,283,919 – 12,717,230</t>
    <phoneticPr fontId="1"/>
  </si>
  <si>
    <t>11,864,777 – 22,762,718</t>
    <phoneticPr fontId="1"/>
  </si>
  <si>
    <t>Marker position (cM)</t>
    <phoneticPr fontId="1"/>
  </si>
  <si>
    <t>Chr</t>
    <phoneticPr fontId="1"/>
  </si>
  <si>
    <t>Start</t>
    <phoneticPr fontId="1"/>
  </si>
  <si>
    <t>End</t>
    <phoneticPr fontId="1"/>
  </si>
  <si>
    <t>POS_old</t>
    <phoneticPr fontId="1"/>
  </si>
  <si>
    <t>markerName</t>
    <phoneticPr fontId="1"/>
  </si>
  <si>
    <t>POS_new</t>
    <phoneticPr fontId="1"/>
  </si>
  <si>
    <t>CHROM</t>
    <phoneticPr fontId="1"/>
  </si>
  <si>
    <t>cM</t>
    <phoneticPr fontId="1"/>
  </si>
  <si>
    <t>OL_U90_2417617</t>
    <phoneticPr fontId="1"/>
  </si>
  <si>
    <t>OL_C12_6679666</t>
  </si>
  <si>
    <t>OL_C12_27205023</t>
  </si>
  <si>
    <t>OL_C20_14446184</t>
  </si>
  <si>
    <t>OL_C20_23089271</t>
  </si>
  <si>
    <t>OL_C18_2283919</t>
  </si>
  <si>
    <t>OL_C23_11864777</t>
  </si>
  <si>
    <t>OL_C2_4994871</t>
  </si>
  <si>
    <t>OL_U115_1271338</t>
  </si>
  <si>
    <t>OL_C13_7805614</t>
  </si>
  <si>
    <t>OL_C14_1354744</t>
  </si>
  <si>
    <t>OL_C14_24966033</t>
  </si>
  <si>
    <t>OL_C15_5944815</t>
  </si>
  <si>
    <t>OL_C15_29675233</t>
  </si>
  <si>
    <t>OL_C19_791132</t>
  </si>
  <si>
    <t>OL_C19_10378187</t>
  </si>
  <si>
    <t>OL_C24_3260724</t>
  </si>
  <si>
    <t>OL_C24_11969859</t>
  </si>
  <si>
    <t>OL_C24_16445726</t>
  </si>
  <si>
    <t>OL_C11_3548056</t>
  </si>
  <si>
    <t>OL_C11_29165347</t>
  </si>
  <si>
    <t>OL_C17_23919420</t>
  </si>
  <si>
    <t>OL_C17_30169249</t>
  </si>
  <si>
    <t>OL_C19_5564885</t>
  </si>
  <si>
    <t>OL_C19_15931030</t>
  </si>
  <si>
    <t>OL_C4_22636715</t>
  </si>
  <si>
    <t>OL_C7_12434314</t>
  </si>
  <si>
    <t>OL_C12_12814606</t>
  </si>
  <si>
    <t>OL_C22_15980029</t>
  </si>
  <si>
    <t>OL_C23_22762718</t>
  </si>
  <si>
    <t>OL_C13_16637072</t>
  </si>
  <si>
    <t>OL_C18_12717230</t>
  </si>
  <si>
    <t>OL_C2_22555806</t>
  </si>
  <si>
    <t>OL_C10_3547674</t>
  </si>
  <si>
    <t>OL_C10_19753626</t>
  </si>
  <si>
    <t>OL_C13_2214289</t>
  </si>
  <si>
    <t>OL_C4_28493922</t>
  </si>
  <si>
    <t>OL_C22_969878</t>
  </si>
  <si>
    <t>HdrR, ASM31367v1</t>
    <phoneticPr fontId="1"/>
  </si>
  <si>
    <t>HdrR, ASM223467v1</t>
    <phoneticPr fontId="1"/>
  </si>
  <si>
    <t>HNI, ASM223471v1</t>
    <phoneticPr fontId="1"/>
  </si>
  <si>
    <r>
      <t>95% CI start (10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bp)</t>
    </r>
    <phoneticPr fontId="1"/>
  </si>
  <si>
    <r>
      <t>95% CI end (10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bp)</t>
    </r>
    <phoneticPr fontId="1"/>
  </si>
  <si>
    <t>Marker start position (bp)</t>
    <phoneticPr fontId="1"/>
  </si>
  <si>
    <t>Marker end position (bp)</t>
    <phoneticPr fontId="1"/>
  </si>
  <si>
    <t>NA</t>
  </si>
  <si>
    <t>Marker position (bp)</t>
    <phoneticPr fontId="1"/>
  </si>
  <si>
    <t>QTL candidate regions</t>
    <phoneticPr fontId="1"/>
  </si>
  <si>
    <t>Start (bp)</t>
    <phoneticPr fontId="1"/>
  </si>
  <si>
    <t>End (bp)</t>
    <phoneticPr fontId="1"/>
  </si>
  <si>
    <r>
      <t>95% CI (10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bp)</t>
    </r>
    <phoneticPr fontId="1"/>
  </si>
  <si>
    <t>7.81 –  27.84</t>
    <phoneticPr fontId="1"/>
  </si>
  <si>
    <t>15.49  – 20.23</t>
    <phoneticPr fontId="1"/>
  </si>
  <si>
    <t>10.44 – 16.24</t>
    <phoneticPr fontId="1"/>
  </si>
  <si>
    <t>4.74 – 14.26</t>
    <phoneticPr fontId="1"/>
  </si>
  <si>
    <t>21.04 – 22.88</t>
    <phoneticPr fontId="1"/>
  </si>
  <si>
    <t>20.93 – 21.45</t>
    <phoneticPr fontId="1"/>
  </si>
  <si>
    <t>Phenotype</t>
    <phoneticPr fontId="1"/>
  </si>
  <si>
    <t>PVE</t>
    <phoneticPr fontId="1"/>
  </si>
  <si>
    <t>Frequency in quick circle</t>
    <phoneticPr fontId="1"/>
  </si>
  <si>
    <t>Average egg number</t>
    <phoneticPr fontId="1"/>
  </si>
  <si>
    <t>Spawning latency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</si>
</sst>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2" borderId="1" xfId="0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  <xf numFmtId="176" fontId="2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77" fontId="2" fillId="2" borderId="0" xfId="0" applyNumberFormat="1" applyFont="1" applyFill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78" fontId="2" fillId="2" borderId="0" xfId="0" applyNumberFormat="1" applyFont="1" applyFill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zoomScale="80" zoomScaleNormal="80" workbookViewId="0">
      <selection activeCell="K14" sqref="K14"/>
    </sheetView>
  </sheetViews>
  <sheetFormatPr defaultRowHeight="18" x14ac:dyDescent="0.55000000000000004"/>
  <cols>
    <col min="1" max="1" width="2.6640625" customWidth="1"/>
    <col min="2" max="2" width="24.08203125" customWidth="1"/>
    <col min="3" max="3" width="4.5" customWidth="1"/>
    <col min="4" max="4" width="3.83203125" bestFit="1" customWidth="1"/>
    <col min="5" max="5" width="5.08203125" customWidth="1"/>
    <col min="6" max="6" width="11.75" customWidth="1"/>
    <col min="7" max="7" width="17.4140625" customWidth="1"/>
    <col min="8" max="8" width="11.83203125" customWidth="1"/>
    <col min="9" max="9" width="9.1640625" bestFit="1" customWidth="1"/>
    <col min="10" max="11" width="7.4140625" customWidth="1"/>
    <col min="12" max="12" width="7.83203125" customWidth="1"/>
    <col min="13" max="13" width="1.9140625" customWidth="1"/>
    <col min="14" max="14" width="20.5" hidden="1" customWidth="1"/>
    <col min="15" max="15" width="2" hidden="1" customWidth="1"/>
    <col min="16" max="16" width="10.83203125" customWidth="1"/>
    <col min="17" max="17" width="10.4140625" customWidth="1"/>
    <col min="18" max="18" width="18.33203125" bestFit="1" customWidth="1"/>
    <col min="19" max="19" width="1.9140625" hidden="1" customWidth="1"/>
    <col min="20" max="20" width="20.25" hidden="1" customWidth="1"/>
    <col min="21" max="21" width="20.58203125" hidden="1" customWidth="1"/>
    <col min="22" max="22" width="17.1640625" hidden="1" customWidth="1"/>
    <col min="23" max="23" width="17.33203125" hidden="1" customWidth="1"/>
    <col min="24" max="24" width="1.9140625" customWidth="1"/>
    <col min="25" max="25" width="4.08203125" customWidth="1"/>
  </cols>
  <sheetData>
    <row r="1" spans="1:25" ht="16" customHeight="1" x14ac:dyDescent="0.55000000000000004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"/>
    </row>
    <row r="2" spans="1:25" ht="16" customHeight="1" x14ac:dyDescent="0.55000000000000004">
      <c r="A2" s="1"/>
      <c r="B2" s="13" t="s">
        <v>85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2"/>
      <c r="N2" s="7" t="s">
        <v>76</v>
      </c>
      <c r="O2" s="6"/>
      <c r="P2" s="18" t="s">
        <v>77</v>
      </c>
      <c r="Q2" s="7"/>
      <c r="R2" s="13"/>
      <c r="S2" s="2"/>
      <c r="T2" s="18" t="s">
        <v>78</v>
      </c>
      <c r="U2" s="7"/>
      <c r="V2" s="7"/>
      <c r="W2" s="7"/>
      <c r="X2" s="2"/>
      <c r="Y2" s="1"/>
    </row>
    <row r="3" spans="1:25" x14ac:dyDescent="0.55000000000000004">
      <c r="A3" s="2"/>
      <c r="B3" s="4" t="s">
        <v>95</v>
      </c>
      <c r="C3" s="5" t="s">
        <v>5</v>
      </c>
      <c r="D3" s="4" t="s">
        <v>20</v>
      </c>
      <c r="E3" s="4" t="s">
        <v>30</v>
      </c>
      <c r="F3" s="4" t="s">
        <v>8</v>
      </c>
      <c r="G3" s="4" t="s">
        <v>29</v>
      </c>
      <c r="H3" s="4" t="s">
        <v>9</v>
      </c>
      <c r="I3" s="4" t="s">
        <v>3</v>
      </c>
      <c r="J3" s="5" t="s">
        <v>4</v>
      </c>
      <c r="K3" s="4" t="s">
        <v>96</v>
      </c>
      <c r="L3" s="4" t="s">
        <v>1</v>
      </c>
      <c r="M3" s="12"/>
      <c r="N3" s="4" t="s">
        <v>84</v>
      </c>
      <c r="O3" s="7"/>
      <c r="P3" s="4" t="s">
        <v>86</v>
      </c>
      <c r="Q3" s="4" t="s">
        <v>87</v>
      </c>
      <c r="R3" s="4" t="s">
        <v>88</v>
      </c>
      <c r="S3" s="7"/>
      <c r="T3" s="4" t="s">
        <v>81</v>
      </c>
      <c r="U3" s="4" t="s">
        <v>82</v>
      </c>
      <c r="V3" s="4" t="s">
        <v>79</v>
      </c>
      <c r="W3" s="4" t="s">
        <v>80</v>
      </c>
      <c r="X3" s="7"/>
      <c r="Y3" s="1"/>
    </row>
    <row r="4" spans="1:25" x14ac:dyDescent="0.55000000000000004">
      <c r="A4" s="2"/>
      <c r="B4" s="6" t="s">
        <v>0</v>
      </c>
      <c r="C4" s="6">
        <v>101</v>
      </c>
      <c r="D4" s="6" t="s">
        <v>21</v>
      </c>
      <c r="E4" s="6">
        <v>12</v>
      </c>
      <c r="F4" s="6">
        <v>23</v>
      </c>
      <c r="G4" s="6" t="s">
        <v>18</v>
      </c>
      <c r="H4" s="6" t="s">
        <v>10</v>
      </c>
      <c r="I4" s="6">
        <v>3.92</v>
      </c>
      <c r="J4" s="6">
        <v>3.5999999999999997E-2</v>
      </c>
      <c r="K4" s="6">
        <v>16.3</v>
      </c>
      <c r="L4" s="6" t="s">
        <v>6</v>
      </c>
      <c r="M4" s="6"/>
      <c r="N4" s="6" t="s">
        <v>19</v>
      </c>
      <c r="O4" s="6"/>
      <c r="P4" s="14">
        <v>7521864</v>
      </c>
      <c r="Q4" s="14">
        <v>27653638</v>
      </c>
      <c r="R4" s="11" t="s">
        <v>89</v>
      </c>
      <c r="S4" s="11"/>
      <c r="T4" s="14">
        <v>6738863</v>
      </c>
      <c r="U4" s="14">
        <v>25633070</v>
      </c>
      <c r="V4" s="11">
        <v>6.5000536974962992</v>
      </c>
      <c r="W4" s="11">
        <v>25.5520212544426</v>
      </c>
      <c r="X4" s="6"/>
      <c r="Y4" s="1"/>
    </row>
    <row r="5" spans="1:25" x14ac:dyDescent="0.55000000000000004">
      <c r="A5" s="2"/>
      <c r="B5" s="6" t="s">
        <v>98</v>
      </c>
      <c r="C5" s="6">
        <v>65</v>
      </c>
      <c r="D5" s="6" t="s">
        <v>22</v>
      </c>
      <c r="E5" s="6">
        <v>23</v>
      </c>
      <c r="F5" s="6">
        <v>40.9</v>
      </c>
      <c r="G5" s="6" t="s">
        <v>23</v>
      </c>
      <c r="H5" s="6" t="s">
        <v>13</v>
      </c>
      <c r="I5" s="6">
        <v>4.1500000000000004</v>
      </c>
      <c r="J5" s="6">
        <v>3.6999999999999998E-2</v>
      </c>
      <c r="K5" s="6">
        <v>25.5</v>
      </c>
      <c r="L5" s="6" t="s">
        <v>7</v>
      </c>
      <c r="M5" s="6"/>
      <c r="N5" s="8" t="s">
        <v>28</v>
      </c>
      <c r="O5" s="8"/>
      <c r="P5" s="14">
        <v>12211987</v>
      </c>
      <c r="Q5" s="14">
        <v>22204938</v>
      </c>
      <c r="R5" s="11" t="s">
        <v>90</v>
      </c>
      <c r="S5" s="11"/>
      <c r="T5" s="14">
        <v>11162265</v>
      </c>
      <c r="U5" s="14">
        <v>21023582</v>
      </c>
      <c r="V5" s="11">
        <v>14.5009647381099</v>
      </c>
      <c r="W5" s="11">
        <v>19.091014983828103</v>
      </c>
      <c r="X5" s="6"/>
      <c r="Y5" s="1"/>
    </row>
    <row r="6" spans="1:25" x14ac:dyDescent="0.55000000000000004">
      <c r="A6" s="2"/>
      <c r="B6" s="6" t="s">
        <v>99</v>
      </c>
      <c r="C6" s="6">
        <v>46</v>
      </c>
      <c r="D6" s="6" t="s">
        <v>22</v>
      </c>
      <c r="E6" s="6">
        <v>13</v>
      </c>
      <c r="F6" s="6">
        <v>23</v>
      </c>
      <c r="G6" s="6" t="s">
        <v>24</v>
      </c>
      <c r="H6" s="6" t="s">
        <v>14</v>
      </c>
      <c r="I6" s="6">
        <v>4.33</v>
      </c>
      <c r="J6" s="6">
        <v>3.9E-2</v>
      </c>
      <c r="K6" s="6">
        <v>23.2</v>
      </c>
      <c r="L6" s="6" t="s">
        <v>7</v>
      </c>
      <c r="M6" s="6"/>
      <c r="N6" s="8" t="s">
        <v>26</v>
      </c>
      <c r="O6" s="8"/>
      <c r="P6" s="14">
        <v>8545224</v>
      </c>
      <c r="Q6" s="14">
        <v>17174355</v>
      </c>
      <c r="R6" s="11" t="s">
        <v>91</v>
      </c>
      <c r="S6" s="11"/>
      <c r="T6" s="14">
        <v>7543870</v>
      </c>
      <c r="U6" s="14" t="s">
        <v>83</v>
      </c>
      <c r="V6" s="11">
        <v>9.6469925075026985</v>
      </c>
      <c r="W6" s="11">
        <v>15.141745931378999</v>
      </c>
      <c r="X6" s="6"/>
      <c r="Y6" s="1"/>
    </row>
    <row r="7" spans="1:25" x14ac:dyDescent="0.55000000000000004">
      <c r="A7" s="2"/>
      <c r="B7" s="6" t="s">
        <v>99</v>
      </c>
      <c r="C7" s="6">
        <v>46</v>
      </c>
      <c r="D7" s="6" t="s">
        <v>22</v>
      </c>
      <c r="E7" s="6">
        <v>18</v>
      </c>
      <c r="F7" s="6">
        <v>13</v>
      </c>
      <c r="G7" s="6" t="s">
        <v>25</v>
      </c>
      <c r="H7" s="6" t="s">
        <v>15</v>
      </c>
      <c r="I7" s="6">
        <v>4.26</v>
      </c>
      <c r="J7" s="6">
        <v>4.3999999999999997E-2</v>
      </c>
      <c r="K7" s="6">
        <v>22.4</v>
      </c>
      <c r="L7" s="6" t="s">
        <v>7</v>
      </c>
      <c r="M7" s="6"/>
      <c r="N7" s="6" t="s">
        <v>27</v>
      </c>
      <c r="O7" s="6"/>
      <c r="P7" s="14">
        <v>3032736</v>
      </c>
      <c r="Q7" s="14">
        <v>13161342</v>
      </c>
      <c r="R7" s="11" t="s">
        <v>92</v>
      </c>
      <c r="S7" s="11"/>
      <c r="T7" s="14" t="s">
        <v>83</v>
      </c>
      <c r="U7" s="14">
        <v>12121743</v>
      </c>
      <c r="V7" s="11">
        <v>3.1919921192176997</v>
      </c>
      <c r="W7" s="11">
        <v>12.420049265856299</v>
      </c>
      <c r="X7" s="6"/>
      <c r="Y7" s="1"/>
    </row>
    <row r="8" spans="1:25" x14ac:dyDescent="0.55000000000000004">
      <c r="A8" s="2"/>
      <c r="B8" s="6" t="s">
        <v>97</v>
      </c>
      <c r="C8" s="6">
        <v>80</v>
      </c>
      <c r="D8" s="6" t="s">
        <v>21</v>
      </c>
      <c r="E8" s="6">
        <v>20</v>
      </c>
      <c r="F8" s="6">
        <v>46</v>
      </c>
      <c r="G8" s="6" t="s">
        <v>16</v>
      </c>
      <c r="H8" s="6" t="s">
        <v>11</v>
      </c>
      <c r="I8" s="6">
        <v>4.53</v>
      </c>
      <c r="J8" s="6">
        <v>1.6E-2</v>
      </c>
      <c r="K8" s="19">
        <v>22.4</v>
      </c>
      <c r="L8" s="6" t="s">
        <v>6</v>
      </c>
      <c r="M8" s="6"/>
      <c r="N8" s="8" t="s">
        <v>17</v>
      </c>
      <c r="O8" s="8"/>
      <c r="P8" s="14">
        <v>16251251</v>
      </c>
      <c r="Q8" s="14">
        <v>24503093</v>
      </c>
      <c r="R8" s="11" t="s">
        <v>93</v>
      </c>
      <c r="S8" s="11"/>
      <c r="T8" s="14">
        <v>14704372</v>
      </c>
      <c r="U8" s="14">
        <v>22860082</v>
      </c>
      <c r="V8" s="11">
        <v>19.245520396702499</v>
      </c>
      <c r="W8" s="11">
        <v>21.229753892647402</v>
      </c>
      <c r="X8" s="6"/>
      <c r="Y8" s="1"/>
    </row>
    <row r="9" spans="1:25" x14ac:dyDescent="0.55000000000000004">
      <c r="A9" s="2"/>
      <c r="B9" s="7" t="s">
        <v>2</v>
      </c>
      <c r="C9" s="7">
        <v>80</v>
      </c>
      <c r="D9" s="7" t="s">
        <v>21</v>
      </c>
      <c r="E9" s="7">
        <v>20</v>
      </c>
      <c r="F9" s="7">
        <v>39</v>
      </c>
      <c r="G9" s="7" t="s">
        <v>16</v>
      </c>
      <c r="H9" s="7" t="s">
        <v>12</v>
      </c>
      <c r="I9" s="7">
        <v>8.11</v>
      </c>
      <c r="J9" s="7">
        <v>1.4E-2</v>
      </c>
      <c r="K9" s="20">
        <v>10.4</v>
      </c>
      <c r="L9" s="7" t="s">
        <v>6</v>
      </c>
      <c r="M9" s="7"/>
      <c r="N9" s="15" t="s">
        <v>17</v>
      </c>
      <c r="O9" s="15"/>
      <c r="P9" s="16">
        <v>16251251</v>
      </c>
      <c r="Q9" s="16">
        <v>24503093</v>
      </c>
      <c r="R9" s="17" t="s">
        <v>94</v>
      </c>
      <c r="S9" s="17"/>
      <c r="T9" s="16">
        <v>14704372</v>
      </c>
      <c r="U9" s="16">
        <v>22860082</v>
      </c>
      <c r="V9" s="17">
        <v>19.120746140505702</v>
      </c>
      <c r="W9" s="17">
        <v>19.687337125991</v>
      </c>
      <c r="X9" s="7"/>
      <c r="Y9" s="1"/>
    </row>
    <row r="10" spans="1:25" x14ac:dyDescent="0.5500000000000000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FCEA-22A4-4979-8674-B31B0E8FF518}">
  <dimension ref="B1:L30"/>
  <sheetViews>
    <sheetView workbookViewId="0">
      <selection activeCell="L13" sqref="L13"/>
    </sheetView>
  </sheetViews>
  <sheetFormatPr defaultRowHeight="18" x14ac:dyDescent="0.55000000000000004"/>
  <cols>
    <col min="4" max="4" width="10.1640625" bestFit="1" customWidth="1"/>
    <col min="5" max="5" width="22.75" bestFit="1" customWidth="1"/>
    <col min="6" max="6" width="10.1640625" bestFit="1" customWidth="1"/>
    <col min="7" max="7" width="2.6640625" customWidth="1"/>
    <col min="8" max="8" width="10.1640625" bestFit="1" customWidth="1"/>
    <col min="9" max="9" width="23.75" bestFit="1" customWidth="1"/>
    <col min="10" max="11" width="10.1640625" bestFit="1" customWidth="1"/>
  </cols>
  <sheetData>
    <row r="1" spans="2:12" x14ac:dyDescent="0.55000000000000004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2" x14ac:dyDescent="0.55000000000000004">
      <c r="D2" s="10" t="s">
        <v>31</v>
      </c>
      <c r="E2" s="10"/>
      <c r="F2" s="10"/>
      <c r="H2" s="10" t="s">
        <v>32</v>
      </c>
      <c r="I2" s="10"/>
      <c r="J2" s="10"/>
      <c r="K2" s="10"/>
    </row>
    <row r="3" spans="2:12" x14ac:dyDescent="0.55000000000000004">
      <c r="B3" s="10" t="s">
        <v>36</v>
      </c>
      <c r="C3" s="10" t="s">
        <v>37</v>
      </c>
      <c r="D3" s="10" t="s">
        <v>33</v>
      </c>
      <c r="E3" s="10" t="s">
        <v>34</v>
      </c>
      <c r="F3" s="10" t="s">
        <v>35</v>
      </c>
      <c r="G3" s="10"/>
      <c r="H3" s="10"/>
      <c r="I3" s="10"/>
      <c r="J3" s="10"/>
      <c r="K3" s="10"/>
    </row>
    <row r="4" spans="2:12" x14ac:dyDescent="0.55000000000000004">
      <c r="B4">
        <v>4</v>
      </c>
      <c r="F4" s="9">
        <v>2380000</v>
      </c>
      <c r="G4" s="9"/>
      <c r="J4" s="9">
        <v>11010000</v>
      </c>
      <c r="K4" s="9"/>
    </row>
    <row r="5" spans="2:12" x14ac:dyDescent="0.55000000000000004">
      <c r="B5">
        <v>12</v>
      </c>
      <c r="C5">
        <v>23</v>
      </c>
      <c r="D5" s="9">
        <v>6679666</v>
      </c>
      <c r="E5" s="9" t="s">
        <v>39</v>
      </c>
      <c r="F5" s="9">
        <v>7521863</v>
      </c>
      <c r="G5" s="9"/>
      <c r="H5" s="9">
        <v>27205023</v>
      </c>
      <c r="I5" t="s">
        <v>40</v>
      </c>
      <c r="J5">
        <v>27653637</v>
      </c>
      <c r="L5" t="str">
        <f>CONCATENATE(F5," - ", J5)</f>
        <v>7521863 - 27653637</v>
      </c>
    </row>
    <row r="6" spans="2:12" x14ac:dyDescent="0.55000000000000004">
      <c r="B6">
        <v>20</v>
      </c>
      <c r="C6">
        <v>46</v>
      </c>
      <c r="D6">
        <v>14446184</v>
      </c>
      <c r="E6" t="s">
        <v>41</v>
      </c>
      <c r="F6">
        <v>16251250</v>
      </c>
      <c r="H6" s="9">
        <v>23089271</v>
      </c>
      <c r="I6" t="s">
        <v>42</v>
      </c>
      <c r="J6">
        <v>24503092</v>
      </c>
      <c r="L6" t="str">
        <f t="shared" ref="L6:L28" si="0">CONCATENATE(F6," - ", J6)</f>
        <v>16251250 - 24503092</v>
      </c>
    </row>
    <row r="7" spans="2:12" x14ac:dyDescent="0.55000000000000004">
      <c r="B7">
        <v>20</v>
      </c>
      <c r="C7">
        <v>39</v>
      </c>
      <c r="D7">
        <v>14446184</v>
      </c>
      <c r="E7" t="s">
        <v>41</v>
      </c>
      <c r="F7">
        <v>16251250</v>
      </c>
      <c r="H7" s="9">
        <v>23089271</v>
      </c>
      <c r="I7" t="s">
        <v>42</v>
      </c>
      <c r="J7">
        <v>24503092</v>
      </c>
      <c r="L7" t="str">
        <f t="shared" si="0"/>
        <v>16251250 - 24503092</v>
      </c>
    </row>
    <row r="8" spans="2:12" x14ac:dyDescent="0.55000000000000004">
      <c r="B8">
        <v>13</v>
      </c>
      <c r="C8">
        <v>23</v>
      </c>
      <c r="D8" s="9">
        <v>7805614</v>
      </c>
      <c r="E8" s="9" t="s">
        <v>47</v>
      </c>
      <c r="F8" s="9">
        <v>8545223</v>
      </c>
      <c r="G8" s="9"/>
      <c r="H8" s="9">
        <v>16637072</v>
      </c>
      <c r="I8" t="s">
        <v>68</v>
      </c>
      <c r="J8">
        <v>17174354</v>
      </c>
      <c r="L8" t="str">
        <f t="shared" si="0"/>
        <v>8545223 - 17174354</v>
      </c>
    </row>
    <row r="9" spans="2:12" x14ac:dyDescent="0.55000000000000004">
      <c r="B9">
        <v>18</v>
      </c>
      <c r="C9">
        <v>13</v>
      </c>
      <c r="D9" s="9">
        <v>2283919</v>
      </c>
      <c r="E9" s="9" t="s">
        <v>43</v>
      </c>
      <c r="F9" s="9">
        <v>3032735</v>
      </c>
      <c r="G9" s="9"/>
      <c r="H9" s="9">
        <v>12717230</v>
      </c>
      <c r="I9" t="s">
        <v>69</v>
      </c>
      <c r="J9">
        <v>13161341</v>
      </c>
      <c r="L9" t="str">
        <f t="shared" si="0"/>
        <v>3032735 - 13161341</v>
      </c>
    </row>
    <row r="10" spans="2:12" x14ac:dyDescent="0.55000000000000004">
      <c r="B10">
        <v>23</v>
      </c>
      <c r="C10">
        <v>40.9</v>
      </c>
      <c r="D10" s="9">
        <v>11864777</v>
      </c>
      <c r="E10" s="9" t="s">
        <v>44</v>
      </c>
      <c r="F10" s="9">
        <v>12211986</v>
      </c>
      <c r="G10" s="9"/>
      <c r="H10" s="9">
        <v>22762718</v>
      </c>
      <c r="I10" t="s">
        <v>67</v>
      </c>
      <c r="J10">
        <v>22204937</v>
      </c>
      <c r="L10" t="str">
        <f t="shared" si="0"/>
        <v>12211986 - 22204937</v>
      </c>
    </row>
    <row r="11" spans="2:12" x14ac:dyDescent="0.55000000000000004">
      <c r="B11">
        <v>2</v>
      </c>
      <c r="C11">
        <v>20</v>
      </c>
      <c r="D11" s="9">
        <v>4994871</v>
      </c>
      <c r="E11" s="9" t="s">
        <v>45</v>
      </c>
      <c r="F11" s="9">
        <v>2243688</v>
      </c>
      <c r="G11" s="9"/>
      <c r="H11" s="9">
        <v>22555806</v>
      </c>
      <c r="I11" t="s">
        <v>70</v>
      </c>
      <c r="J11">
        <v>16061182</v>
      </c>
      <c r="L11" t="str">
        <f t="shared" si="0"/>
        <v>2243688 - 16061182</v>
      </c>
    </row>
    <row r="12" spans="2:12" x14ac:dyDescent="0.55000000000000004">
      <c r="B12">
        <v>10</v>
      </c>
      <c r="C12">
        <v>1.6</v>
      </c>
      <c r="D12" s="9">
        <v>1271338</v>
      </c>
      <c r="E12" s="9" t="s">
        <v>46</v>
      </c>
      <c r="F12" s="9">
        <v>1194454</v>
      </c>
      <c r="G12" s="9"/>
      <c r="H12" s="9">
        <v>3547674</v>
      </c>
      <c r="I12" t="s">
        <v>71</v>
      </c>
      <c r="J12">
        <v>8139539</v>
      </c>
      <c r="L12" t="str">
        <f t="shared" si="0"/>
        <v>1194454 - 8139539</v>
      </c>
    </row>
    <row r="13" spans="2:12" x14ac:dyDescent="0.55000000000000004">
      <c r="B13">
        <v>10</v>
      </c>
      <c r="C13">
        <v>4</v>
      </c>
      <c r="D13" s="9">
        <v>1271338</v>
      </c>
      <c r="E13" s="9" t="s">
        <v>46</v>
      </c>
      <c r="F13" s="9">
        <v>1194454</v>
      </c>
      <c r="G13" s="9"/>
      <c r="H13" s="9">
        <v>19753626</v>
      </c>
      <c r="I13" t="s">
        <v>72</v>
      </c>
      <c r="J13">
        <v>23451193</v>
      </c>
      <c r="L13" t="str">
        <f t="shared" si="0"/>
        <v>1194454 - 23451193</v>
      </c>
    </row>
    <row r="14" spans="2:12" x14ac:dyDescent="0.55000000000000004">
      <c r="B14">
        <v>13</v>
      </c>
      <c r="C14">
        <v>10</v>
      </c>
      <c r="D14" s="9">
        <v>2214289</v>
      </c>
      <c r="E14" s="9" t="s">
        <v>73</v>
      </c>
      <c r="F14" s="9">
        <v>3095676</v>
      </c>
      <c r="G14" s="9"/>
      <c r="H14" s="9">
        <v>7805614</v>
      </c>
      <c r="I14" t="s">
        <v>47</v>
      </c>
      <c r="J14">
        <v>8545223</v>
      </c>
      <c r="L14" t="str">
        <f t="shared" si="0"/>
        <v>3095676 - 8545223</v>
      </c>
    </row>
    <row r="15" spans="2:12" x14ac:dyDescent="0.55000000000000004">
      <c r="B15">
        <v>14</v>
      </c>
      <c r="C15">
        <v>1.64</v>
      </c>
      <c r="D15" s="9">
        <v>1354744</v>
      </c>
      <c r="E15" s="9" t="s">
        <v>48</v>
      </c>
      <c r="F15" s="9">
        <v>2737355</v>
      </c>
      <c r="G15" s="9"/>
      <c r="H15" s="9">
        <v>24966033</v>
      </c>
      <c r="I15" t="s">
        <v>49</v>
      </c>
      <c r="J15">
        <v>24125531</v>
      </c>
      <c r="L15" t="str">
        <f t="shared" si="0"/>
        <v>2737355 - 24125531</v>
      </c>
    </row>
    <row r="16" spans="2:12" x14ac:dyDescent="0.55000000000000004">
      <c r="B16">
        <v>15</v>
      </c>
      <c r="C16">
        <v>60</v>
      </c>
      <c r="D16" s="9">
        <v>5944815</v>
      </c>
      <c r="E16" s="9" t="s">
        <v>50</v>
      </c>
      <c r="F16" s="9">
        <v>6713270</v>
      </c>
      <c r="G16" s="9"/>
      <c r="H16" s="9">
        <v>29675233</v>
      </c>
      <c r="I16" t="s">
        <v>51</v>
      </c>
      <c r="J16">
        <v>30135736</v>
      </c>
      <c r="L16" t="str">
        <f t="shared" si="0"/>
        <v>6713270 - 30135736</v>
      </c>
    </row>
    <row r="17" spans="2:12" x14ac:dyDescent="0.55000000000000004">
      <c r="B17">
        <v>19</v>
      </c>
      <c r="C17">
        <v>6</v>
      </c>
      <c r="D17" s="9">
        <v>791132</v>
      </c>
      <c r="E17" s="9" t="s">
        <v>52</v>
      </c>
      <c r="F17" s="9">
        <v>2377784</v>
      </c>
      <c r="G17" s="9"/>
      <c r="H17" s="9">
        <v>10378187</v>
      </c>
      <c r="I17" t="s">
        <v>53</v>
      </c>
      <c r="J17">
        <v>11352043</v>
      </c>
      <c r="L17" t="str">
        <f t="shared" si="0"/>
        <v>2377784 - 11352043</v>
      </c>
    </row>
    <row r="18" spans="2:12" x14ac:dyDescent="0.55000000000000004">
      <c r="B18">
        <v>24</v>
      </c>
      <c r="C18">
        <v>16.440000000000001</v>
      </c>
      <c r="D18" s="9">
        <v>3260724</v>
      </c>
      <c r="E18" s="9" t="s">
        <v>54</v>
      </c>
      <c r="F18" s="9">
        <v>3895621</v>
      </c>
      <c r="G18" s="9"/>
      <c r="H18" s="9">
        <v>11969859</v>
      </c>
      <c r="I18" t="s">
        <v>55</v>
      </c>
      <c r="J18">
        <v>12222513</v>
      </c>
      <c r="L18" t="str">
        <f t="shared" si="0"/>
        <v>3895621 - 12222513</v>
      </c>
    </row>
    <row r="19" spans="2:12" x14ac:dyDescent="0.55000000000000004">
      <c r="B19">
        <v>24</v>
      </c>
      <c r="C19">
        <v>16.440000000000001</v>
      </c>
      <c r="D19" s="9">
        <v>3260724</v>
      </c>
      <c r="E19" s="9" t="s">
        <v>54</v>
      </c>
      <c r="F19" s="9">
        <v>3895621</v>
      </c>
      <c r="G19" s="9"/>
      <c r="H19" s="9">
        <v>16445726</v>
      </c>
      <c r="I19" t="s">
        <v>56</v>
      </c>
      <c r="J19">
        <v>16377152</v>
      </c>
      <c r="L19" t="str">
        <f t="shared" si="0"/>
        <v>3895621 - 16377152</v>
      </c>
    </row>
    <row r="20" spans="2:12" x14ac:dyDescent="0.55000000000000004">
      <c r="B20">
        <v>24</v>
      </c>
      <c r="C20">
        <v>27</v>
      </c>
      <c r="D20" s="9">
        <v>3260724</v>
      </c>
      <c r="E20" s="9" t="s">
        <v>54</v>
      </c>
      <c r="F20" s="9">
        <v>3895621</v>
      </c>
      <c r="G20" s="9"/>
      <c r="H20" s="9">
        <v>16445726</v>
      </c>
      <c r="I20" t="s">
        <v>56</v>
      </c>
      <c r="J20">
        <v>16377152</v>
      </c>
      <c r="L20" t="str">
        <f t="shared" si="0"/>
        <v>3895621 - 16377152</v>
      </c>
    </row>
    <row r="21" spans="2:12" x14ac:dyDescent="0.55000000000000004">
      <c r="B21">
        <v>11</v>
      </c>
      <c r="C21">
        <v>45</v>
      </c>
      <c r="D21" s="9">
        <v>3548056</v>
      </c>
      <c r="E21" s="9" t="s">
        <v>57</v>
      </c>
      <c r="F21" s="9">
        <v>4655148</v>
      </c>
      <c r="G21" s="9"/>
      <c r="H21" s="9">
        <v>29165347</v>
      </c>
      <c r="I21" t="s">
        <v>58</v>
      </c>
      <c r="J21">
        <v>27977182</v>
      </c>
      <c r="L21" t="str">
        <f t="shared" si="0"/>
        <v>4655148 - 27977182</v>
      </c>
    </row>
    <row r="22" spans="2:12" x14ac:dyDescent="0.55000000000000004">
      <c r="B22">
        <v>17</v>
      </c>
      <c r="C22">
        <v>55</v>
      </c>
      <c r="D22" s="9">
        <v>23919420</v>
      </c>
      <c r="E22" s="9" t="s">
        <v>59</v>
      </c>
      <c r="F22" s="9">
        <v>23370960</v>
      </c>
      <c r="G22" s="9"/>
      <c r="H22" s="9">
        <v>30169249</v>
      </c>
      <c r="I22" t="s">
        <v>60</v>
      </c>
      <c r="J22">
        <v>29208666</v>
      </c>
      <c r="L22" t="str">
        <f t="shared" si="0"/>
        <v>23370960 - 29208666</v>
      </c>
    </row>
    <row r="23" spans="2:12" x14ac:dyDescent="0.55000000000000004">
      <c r="B23">
        <v>19</v>
      </c>
      <c r="C23">
        <v>30</v>
      </c>
      <c r="D23" s="9">
        <v>5564885</v>
      </c>
      <c r="E23" s="9" t="s">
        <v>61</v>
      </c>
      <c r="F23" s="9">
        <v>6469742</v>
      </c>
      <c r="G23" s="9"/>
      <c r="H23" s="9">
        <v>15931030</v>
      </c>
      <c r="I23" t="s">
        <v>62</v>
      </c>
      <c r="J23">
        <v>16259783</v>
      </c>
      <c r="L23" t="str">
        <f t="shared" si="0"/>
        <v>6469742 - 16259783</v>
      </c>
    </row>
    <row r="24" spans="2:12" x14ac:dyDescent="0.55000000000000004">
      <c r="B24">
        <v>4</v>
      </c>
      <c r="C24">
        <v>40</v>
      </c>
      <c r="D24" s="9">
        <v>22636715</v>
      </c>
      <c r="E24" s="9" t="s">
        <v>63</v>
      </c>
      <c r="F24" s="9">
        <v>21369512</v>
      </c>
      <c r="G24" s="9"/>
      <c r="H24" s="9">
        <v>28493922</v>
      </c>
      <c r="I24" t="s">
        <v>74</v>
      </c>
      <c r="J24">
        <v>27081924</v>
      </c>
      <c r="L24" t="str">
        <f t="shared" si="0"/>
        <v>21369512 - 27081924</v>
      </c>
    </row>
    <row r="25" spans="2:12" x14ac:dyDescent="0.55000000000000004">
      <c r="B25">
        <v>7</v>
      </c>
      <c r="C25">
        <v>45</v>
      </c>
      <c r="D25" s="9">
        <v>11769320</v>
      </c>
      <c r="E25" s="9" t="s">
        <v>64</v>
      </c>
      <c r="F25" s="9">
        <v>12291222</v>
      </c>
      <c r="G25" s="9"/>
      <c r="H25" s="9">
        <v>27988465</v>
      </c>
      <c r="I25" t="s">
        <v>38</v>
      </c>
      <c r="J25">
        <v>30096987</v>
      </c>
      <c r="L25" t="str">
        <f t="shared" si="0"/>
        <v>12291222 - 30096987</v>
      </c>
    </row>
    <row r="26" spans="2:12" x14ac:dyDescent="0.55000000000000004">
      <c r="B26">
        <v>12</v>
      </c>
      <c r="C26">
        <v>20</v>
      </c>
      <c r="D26" s="9">
        <v>12814606</v>
      </c>
      <c r="E26" s="9" t="s">
        <v>65</v>
      </c>
      <c r="F26" s="9">
        <v>13256864</v>
      </c>
      <c r="G26" s="9"/>
      <c r="H26" s="9">
        <v>27205023</v>
      </c>
      <c r="I26" t="s">
        <v>40</v>
      </c>
      <c r="J26">
        <v>27653637</v>
      </c>
      <c r="L26" t="str">
        <f t="shared" si="0"/>
        <v>13256864 - 27653637</v>
      </c>
    </row>
    <row r="27" spans="2:12" x14ac:dyDescent="0.55000000000000004">
      <c r="B27">
        <v>22</v>
      </c>
      <c r="C27">
        <v>30</v>
      </c>
      <c r="D27" s="9">
        <v>969878</v>
      </c>
      <c r="E27" s="9" t="s">
        <v>75</v>
      </c>
      <c r="F27" s="9">
        <v>1598076</v>
      </c>
      <c r="G27" s="9"/>
      <c r="H27" s="9">
        <v>15980029</v>
      </c>
      <c r="I27" t="s">
        <v>66</v>
      </c>
      <c r="J27">
        <v>16264411</v>
      </c>
      <c r="L27" t="str">
        <f t="shared" si="0"/>
        <v>1598076 - 16264411</v>
      </c>
    </row>
    <row r="28" spans="2:12" x14ac:dyDescent="0.55000000000000004">
      <c r="B28">
        <v>23</v>
      </c>
      <c r="C28">
        <v>58</v>
      </c>
      <c r="D28" s="9">
        <v>11864777</v>
      </c>
      <c r="E28" s="9" t="s">
        <v>44</v>
      </c>
      <c r="F28" s="9">
        <v>12211986</v>
      </c>
      <c r="G28" s="9"/>
      <c r="H28">
        <v>22762718</v>
      </c>
      <c r="I28" t="s">
        <v>67</v>
      </c>
      <c r="J28">
        <v>22204937</v>
      </c>
      <c r="L28" t="str">
        <f t="shared" si="0"/>
        <v>12211986 - 22204937</v>
      </c>
    </row>
    <row r="29" spans="2:12" x14ac:dyDescent="0.55000000000000004">
      <c r="B29">
        <v>16</v>
      </c>
      <c r="C29">
        <v>30</v>
      </c>
      <c r="D29" s="9"/>
      <c r="E29" s="9"/>
      <c r="F29" s="9"/>
      <c r="G29" s="9"/>
      <c r="H29" s="9"/>
    </row>
    <row r="30" spans="2:12" x14ac:dyDescent="0.55000000000000004">
      <c r="D30" s="9"/>
      <c r="E30" s="9"/>
      <c r="F30" s="9"/>
      <c r="G30" s="9"/>
      <c r="H30" s="9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markerInformation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藤本真悟</dc:creator>
  <cp:lastModifiedBy>真悟</cp:lastModifiedBy>
  <dcterms:created xsi:type="dcterms:W3CDTF">2022-03-07T04:42:19Z</dcterms:created>
  <dcterms:modified xsi:type="dcterms:W3CDTF">2024-03-21T10:59:58Z</dcterms:modified>
</cp:coreProperties>
</file>